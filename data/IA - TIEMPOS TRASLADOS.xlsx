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EMPOS" sheetId="1" r:id="rId4"/>
    <sheet state="visible" name="TRANSBORDOS" sheetId="2" r:id="rId5"/>
    <sheet state="visible" name="FRECUENCIAS" sheetId="3" r:id="rId6"/>
  </sheets>
  <definedNames/>
  <calcPr/>
</workbook>
</file>

<file path=xl/sharedStrings.xml><?xml version="1.0" encoding="utf-8"?>
<sst xmlns="http://schemas.openxmlformats.org/spreadsheetml/2006/main" count="258" uniqueCount="102">
  <si>
    <t>LINEA</t>
  </si>
  <si>
    <t>ESTACIÓN INICIO</t>
  </si>
  <si>
    <t>NOMBRE EI</t>
  </si>
  <si>
    <t xml:space="preserve">ESTACIÓN FINAL </t>
  </si>
  <si>
    <t>NOMBRE EF</t>
  </si>
  <si>
    <t>TIEMPO (min)</t>
  </si>
  <si>
    <t xml:space="preserve"> PESO + tiempo parada falso</t>
  </si>
  <si>
    <t xml:space="preserve">1A </t>
  </si>
  <si>
    <t xml:space="preserve">Observatorio </t>
  </si>
  <si>
    <t>17T</t>
  </si>
  <si>
    <t>Tacubaya</t>
  </si>
  <si>
    <t>1A</t>
  </si>
  <si>
    <t>Observatorio</t>
  </si>
  <si>
    <t>19T</t>
  </si>
  <si>
    <t>1C</t>
  </si>
  <si>
    <t>Juanacatlán</t>
  </si>
  <si>
    <t>1D</t>
  </si>
  <si>
    <t>Chapultepec</t>
  </si>
  <si>
    <t>1E</t>
  </si>
  <si>
    <t>Sevilla</t>
  </si>
  <si>
    <t>1F</t>
  </si>
  <si>
    <t>Insurgentes</t>
  </si>
  <si>
    <t>1G</t>
  </si>
  <si>
    <t>Cuauhtémoc</t>
  </si>
  <si>
    <t>13T</t>
  </si>
  <si>
    <t>Balderas</t>
  </si>
  <si>
    <t>3A</t>
  </si>
  <si>
    <t>Universidad</t>
  </si>
  <si>
    <t>3B</t>
  </si>
  <si>
    <t>Copilco</t>
  </si>
  <si>
    <t>3C</t>
  </si>
  <si>
    <t>M.A. De Quevedo</t>
  </si>
  <si>
    <t>3D</t>
  </si>
  <si>
    <t>Viveros</t>
  </si>
  <si>
    <t>3E</t>
  </si>
  <si>
    <t>Coyoacán</t>
  </si>
  <si>
    <t>312T</t>
  </si>
  <si>
    <t>Zapata</t>
  </si>
  <si>
    <t>3G</t>
  </si>
  <si>
    <t>División del Norte</t>
  </si>
  <si>
    <t>3H</t>
  </si>
  <si>
    <t>Eugenia</t>
  </si>
  <si>
    <t>3I</t>
  </si>
  <si>
    <t>Etiopía</t>
  </si>
  <si>
    <t>39T</t>
  </si>
  <si>
    <t>Centro Médico</t>
  </si>
  <si>
    <t>3K</t>
  </si>
  <si>
    <t>Hospital General</t>
  </si>
  <si>
    <t>3L</t>
  </si>
  <si>
    <t>Niños Héroes</t>
  </si>
  <si>
    <t>3N</t>
  </si>
  <si>
    <t>Juárez</t>
  </si>
  <si>
    <t>7A</t>
  </si>
  <si>
    <t>Barranca del Muerto</t>
  </si>
  <si>
    <t>712T</t>
  </si>
  <si>
    <t>Mixcoac</t>
  </si>
  <si>
    <t>7C</t>
  </si>
  <si>
    <t>San Antonio</t>
  </si>
  <si>
    <t>7D</t>
  </si>
  <si>
    <t>San Pedro de los Pinos</t>
  </si>
  <si>
    <t>79T</t>
  </si>
  <si>
    <t>7F</t>
  </si>
  <si>
    <t>Constituyentes</t>
  </si>
  <si>
    <t>7G</t>
  </si>
  <si>
    <t>Auditorio</t>
  </si>
  <si>
    <t>7H</t>
  </si>
  <si>
    <t>Polanco</t>
  </si>
  <si>
    <t>9B</t>
  </si>
  <si>
    <t>Patriotismo</t>
  </si>
  <si>
    <t>9C</t>
  </si>
  <si>
    <t>Chilpancingo</t>
  </si>
  <si>
    <t xml:space="preserve">Centro Médico </t>
  </si>
  <si>
    <t>9E</t>
  </si>
  <si>
    <t xml:space="preserve">Lazaro Cardenas </t>
  </si>
  <si>
    <t>12B</t>
  </si>
  <si>
    <t>Insurgentes Sur</t>
  </si>
  <si>
    <t>12C</t>
  </si>
  <si>
    <t>Hospital 20 de Nov</t>
  </si>
  <si>
    <t>12E</t>
  </si>
  <si>
    <t>Parque de los Venados</t>
  </si>
  <si>
    <t>12F</t>
  </si>
  <si>
    <t>Eje Central</t>
  </si>
  <si>
    <t>TRANSBORDOS - PESOS NODOS</t>
  </si>
  <si>
    <t>LINEA INICIO</t>
  </si>
  <si>
    <t>LINEA FINAL</t>
  </si>
  <si>
    <t>E. TRASBORDO</t>
  </si>
  <si>
    <t>TIEMPO</t>
  </si>
  <si>
    <t xml:space="preserve">TIEMPO TOTAL </t>
  </si>
  <si>
    <t xml:space="preserve">PESO </t>
  </si>
  <si>
    <t xml:space="preserve"> </t>
  </si>
  <si>
    <t xml:space="preserve"> TRAMOS HORARIOS - TIEMPO LABORABLES</t>
  </si>
  <si>
    <t>TRAMOS HORARIOS - TIEMPO DOMINGOS Y FESTIVOS</t>
  </si>
  <si>
    <t>TRAMO HORARIO</t>
  </si>
  <si>
    <t>HORAS</t>
  </si>
  <si>
    <t>FRECUENCIA (MIN)</t>
  </si>
  <si>
    <t>PESO</t>
  </si>
  <si>
    <t>HORA BAJA</t>
  </si>
  <si>
    <t>HORA VALLE</t>
  </si>
  <si>
    <t>HORA PICO</t>
  </si>
  <si>
    <t>18:00 – 20:59</t>
  </si>
  <si>
    <t>11:00 – 17:59</t>
  </si>
  <si>
    <t>TRAMOS HORARIOS - TIEMPO SÁBADOS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</si>
</sst>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scheme val="minor"/>
    </font>
    <font>
      <b/>
      <color theme="1"/>
      <name val="Arial"/>
      <scheme val="minor"/>
    </font>
    <font/>
    <font>
      <b/>
      <sz val="11.0"/>
      <color theme="1"/>
      <name val="Arial"/>
      <scheme val="minor"/>
    </font>
    <font>
      <color theme="1"/>
      <name val="Arial"/>
      <scheme val="minor"/>
    </font>
  </fonts>
  <fills count="12">
    <fill>
      <patternFill patternType="none"/>
    </fill>
    <fill>
      <patternFill patternType="lightGray"/>
    </fill>
    <fill>
      <patternFill patternType="solid">
        <fgColor rgb="FFD9D9D9"/>
        <bgColor rgb="FFD9D9D9"/>
      </patternFill>
    </fill>
    <fill>
      <patternFill patternType="solid">
        <fgColor rgb="FFFF00FF"/>
        <bgColor rgb="FFFF00FF"/>
      </patternFill>
    </fill>
    <fill>
      <patternFill patternType="solid">
        <fgColor rgb="FF3636C8"/>
        <bgColor rgb="FF3636C8"/>
      </patternFill>
    </fill>
    <fill>
      <patternFill patternType="solid">
        <fgColor rgb="FFFFFF00"/>
        <bgColor rgb="FFFFFF00"/>
      </patternFill>
    </fill>
    <fill>
      <patternFill patternType="solid">
        <fgColor theme="0"/>
        <bgColor theme="0"/>
      </patternFill>
    </fill>
    <fill>
      <patternFill patternType="solid">
        <fgColor rgb="FF8EF162"/>
        <bgColor rgb="FF8EF162"/>
      </patternFill>
    </fill>
    <fill>
      <patternFill patternType="solid">
        <fgColor theme="8"/>
        <bgColor theme="8"/>
      </patternFill>
    </fill>
    <fill>
      <patternFill patternType="solid">
        <fgColor rgb="FFEFEFEF"/>
        <bgColor rgb="FFEFEFEF"/>
      </patternFill>
    </fill>
    <fill>
      <patternFill patternType="solid">
        <fgColor rgb="FF999999"/>
        <bgColor rgb="FF999999"/>
      </patternFill>
    </fill>
    <fill>
      <patternFill patternType="solid">
        <fgColor rgb="FFC9DAF8"/>
        <bgColor rgb="FFC9DAF8"/>
      </patternFill>
    </fill>
  </fills>
  <borders count="26">
    <border/>
    <border>
      <left style="thick">
        <color rgb="FF000000"/>
      </left>
      <top style="thick">
        <color rgb="FF000000"/>
      </top>
    </border>
    <border>
      <right style="thin">
        <color rgb="FF000000"/>
      </right>
      <top style="thick">
        <color rgb="FF000000"/>
      </top>
    </border>
    <border>
      <left style="thin">
        <color rgb="FF000000"/>
      </left>
      <top style="thick">
        <color rgb="FF000000"/>
      </top>
    </border>
    <border>
      <right style="thick">
        <color rgb="FF000000"/>
      </right>
      <top style="thick">
        <color rgb="FF000000"/>
      </top>
    </border>
    <border>
      <left style="thick">
        <color rgb="FF000000"/>
      </left>
      <bottom style="thick">
        <color rgb="FF000000"/>
      </bottom>
    </border>
    <border>
      <right style="thin">
        <color rgb="FF000000"/>
      </right>
      <bottom style="thick">
        <color rgb="FF000000"/>
      </bottom>
    </border>
    <border>
      <left style="thin">
        <color rgb="FF000000"/>
      </left>
      <bottom style="thick">
        <color rgb="FF000000"/>
      </bottom>
    </border>
    <border>
      <right style="thick">
        <color rgb="FF000000"/>
      </right>
      <bottom style="thick">
        <color rgb="FF000000"/>
      </bottom>
    </border>
    <border>
      <left style="thick">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thick">
        <color rgb="FF000000"/>
      </right>
      <bottom style="thin">
        <color rgb="FF000000"/>
      </bottom>
    </border>
    <border>
      <left style="thick">
        <color rgb="FF000000"/>
      </left>
    </border>
    <border>
      <right style="thin">
        <color rgb="FF000000"/>
      </right>
    </border>
    <border>
      <left style="thin">
        <color rgb="FF000000"/>
      </left>
    </border>
    <border>
      <right style="thick">
        <color rgb="FF000000"/>
      </right>
    </border>
    <border>
      <left style="thick">
        <color rgb="FF000000"/>
      </left>
      <top style="thin">
        <color rgb="FF000000"/>
      </top>
    </border>
    <border>
      <right style="thin">
        <color rgb="FF000000"/>
      </right>
      <top style="thin">
        <color rgb="FF000000"/>
      </top>
    </border>
    <border>
      <left style="thin">
        <color rgb="FF000000"/>
      </left>
      <top style="thin">
        <color rgb="FF000000"/>
      </top>
    </border>
    <border>
      <right style="thick">
        <color rgb="FF000000"/>
      </right>
      <top style="thin">
        <color rgb="FF000000"/>
      </top>
    </border>
    <border>
      <top style="thin">
        <color rgb="FF000000"/>
      </top>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ck">
        <color rgb="FF000000"/>
      </top>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vertical="center"/>
    </xf>
    <xf borderId="2" fillId="0" fontId="3" numFmtId="0" xfId="0" applyBorder="1" applyFont="1"/>
    <xf borderId="3" fillId="2" fontId="2" numFmtId="0" xfId="0" applyAlignment="1" applyBorder="1" applyFont="1">
      <alignment horizontal="center" readingOrder="0" vertical="center"/>
    </xf>
    <xf borderId="3" fillId="2" fontId="4" numFmtId="0" xfId="0" applyAlignment="1" applyBorder="1" applyFont="1">
      <alignment horizontal="center" readingOrder="0" vertical="center"/>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3" fontId="5" numFmtId="0" xfId="0" applyAlignment="1" applyBorder="1" applyFill="1" applyFont="1">
      <alignment horizontal="center" readingOrder="0" vertical="center"/>
    </xf>
    <xf borderId="3" fillId="0" fontId="5" numFmtId="0" xfId="0" applyAlignment="1" applyBorder="1" applyFont="1">
      <alignment horizontal="center" readingOrder="0"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3" fontId="5" numFmtId="0" xfId="0" applyAlignment="1" applyBorder="1" applyFont="1">
      <alignment horizontal="center" readingOrder="0" vertical="center"/>
    </xf>
    <xf borderId="14" fillId="0" fontId="3" numFmtId="0" xfId="0" applyBorder="1" applyFont="1"/>
    <xf borderId="15" fillId="0" fontId="5" numFmtId="0" xfId="0" applyAlignment="1" applyBorder="1" applyFont="1">
      <alignment horizontal="center" readingOrder="0" vertical="center"/>
    </xf>
    <xf borderId="16" fillId="0" fontId="3" numFmtId="0" xfId="0" applyBorder="1" applyFont="1"/>
    <xf borderId="17" fillId="3" fontId="5" numFmtId="0" xfId="0" applyAlignment="1" applyBorder="1" applyFont="1">
      <alignment horizontal="center" readingOrder="0" vertical="center"/>
    </xf>
    <xf borderId="18" fillId="0" fontId="3" numFmtId="0" xfId="0" applyBorder="1" applyFont="1"/>
    <xf borderId="19" fillId="0" fontId="5" numFmtId="0" xfId="0" applyAlignment="1" applyBorder="1" applyFont="1">
      <alignment horizontal="center" readingOrder="0" vertical="center"/>
    </xf>
    <xf borderId="20" fillId="0" fontId="3" numFmtId="0" xfId="0" applyBorder="1" applyFont="1"/>
    <xf borderId="1" fillId="4" fontId="5" numFmtId="0" xfId="0" applyAlignment="1" applyBorder="1" applyFill="1" applyFont="1">
      <alignment horizontal="center" readingOrder="0" vertical="center"/>
    </xf>
    <xf borderId="17" fillId="4" fontId="5" numFmtId="0" xfId="0" applyAlignment="1" applyBorder="1" applyFont="1">
      <alignment horizontal="center" readingOrder="0" vertical="center"/>
    </xf>
    <xf borderId="19" fillId="0" fontId="5" numFmtId="0" xfId="0" applyAlignment="1" applyBorder="1" applyFont="1">
      <alignment horizontal="center" readingOrder="0"/>
    </xf>
    <xf borderId="1" fillId="5" fontId="5" numFmtId="0" xfId="0" applyAlignment="1" applyBorder="1" applyFill="1" applyFont="1">
      <alignment horizontal="center" readingOrder="0" vertical="center"/>
    </xf>
    <xf borderId="17" fillId="5" fontId="5" numFmtId="0" xfId="0" applyAlignment="1" applyBorder="1" applyFont="1">
      <alignment horizontal="center" readingOrder="0" vertical="center"/>
    </xf>
    <xf borderId="19" fillId="6" fontId="5" numFmtId="0" xfId="0" applyAlignment="1" applyBorder="1" applyFill="1" applyFont="1">
      <alignment horizontal="center" readingOrder="0" vertical="center"/>
    </xf>
    <xf borderId="13" fillId="5" fontId="5" numFmtId="0" xfId="0" applyAlignment="1" applyBorder="1" applyFont="1">
      <alignment horizontal="center" readingOrder="0" vertical="center"/>
    </xf>
    <xf borderId="1" fillId="7" fontId="5" numFmtId="0" xfId="0" applyAlignment="1" applyBorder="1" applyFill="1" applyFont="1">
      <alignment horizontal="center" readingOrder="0" vertical="center"/>
    </xf>
    <xf borderId="13" fillId="7" fontId="5" numFmtId="0" xfId="0" applyAlignment="1" applyBorder="1" applyFont="1">
      <alignment horizontal="center" readingOrder="0" vertical="center"/>
    </xf>
    <xf borderId="17" fillId="7" fontId="5" numFmtId="0" xfId="0" applyAlignment="1" applyBorder="1" applyFont="1">
      <alignment horizontal="center" readingOrder="0" vertical="center"/>
    </xf>
    <xf borderId="1" fillId="8" fontId="5" numFmtId="0" xfId="0" applyAlignment="1" applyBorder="1" applyFill="1" applyFont="1">
      <alignment horizontal="center" readingOrder="0" vertical="center"/>
    </xf>
    <xf borderId="3" fillId="0" fontId="1" numFmtId="0" xfId="0" applyAlignment="1" applyBorder="1" applyFont="1">
      <alignment horizontal="center" readingOrder="0" vertical="center"/>
    </xf>
    <xf borderId="17" fillId="8" fontId="5" numFmtId="0" xfId="0" applyAlignment="1" applyBorder="1" applyFont="1">
      <alignment horizontal="center" readingOrder="0" vertical="center"/>
    </xf>
    <xf borderId="0" fillId="0" fontId="5" numFmtId="0" xfId="0" applyFont="1"/>
    <xf borderId="19" fillId="9" fontId="2" numFmtId="0" xfId="0" applyAlignment="1" applyBorder="1" applyFill="1" applyFont="1">
      <alignment horizontal="center" readingOrder="0" vertical="center"/>
    </xf>
    <xf borderId="21" fillId="0" fontId="3" numFmtId="0" xfId="0" applyBorder="1" applyFont="1"/>
    <xf borderId="22" fillId="0" fontId="3" numFmtId="0" xfId="0" applyBorder="1" applyFont="1"/>
    <xf borderId="23" fillId="0" fontId="2" numFmtId="0" xfId="0" applyAlignment="1" applyBorder="1" applyFont="1">
      <alignment horizontal="center" readingOrder="0" vertical="center"/>
    </xf>
    <xf borderId="19" fillId="0" fontId="2" numFmtId="0" xfId="0" applyAlignment="1" applyBorder="1" applyFont="1">
      <alignment horizontal="center" readingOrder="0" vertical="center"/>
    </xf>
    <xf borderId="24" fillId="0" fontId="3" numFmtId="0" xfId="0" applyBorder="1" applyFont="1"/>
    <xf borderId="23" fillId="4" fontId="5" numFmtId="0" xfId="0" applyAlignment="1" applyBorder="1" applyFont="1">
      <alignment horizontal="center" readingOrder="0" vertical="center"/>
    </xf>
    <xf borderId="23" fillId="7" fontId="5" numFmtId="0" xfId="0" applyAlignment="1" applyBorder="1" applyFont="1">
      <alignment horizontal="center" readingOrder="0" vertical="center"/>
    </xf>
    <xf borderId="23" fillId="0" fontId="5" numFmtId="0" xfId="0" applyAlignment="1" applyBorder="1" applyFont="1">
      <alignment horizontal="center" readingOrder="0" vertical="center"/>
    </xf>
    <xf borderId="19" fillId="0" fontId="5" numFmtId="0" xfId="0" applyAlignment="1" applyBorder="1" applyFont="1">
      <alignment horizontal="center" vertical="center"/>
    </xf>
    <xf borderId="23" fillId="0" fontId="5" numFmtId="0" xfId="0" applyAlignment="1" applyBorder="1" applyFont="1">
      <alignment horizontal="center" vertical="center"/>
    </xf>
    <xf borderId="23" fillId="3" fontId="5" numFmtId="0" xfId="0" applyAlignment="1" applyBorder="1" applyFont="1">
      <alignment horizontal="center" readingOrder="0" vertical="center"/>
    </xf>
    <xf borderId="23" fillId="5" fontId="5" numFmtId="0" xfId="0" applyAlignment="1" applyBorder="1" applyFont="1">
      <alignment horizontal="center" readingOrder="0" vertical="center"/>
    </xf>
    <xf borderId="23" fillId="8" fontId="5" numFmtId="0" xfId="0" applyAlignment="1" applyBorder="1" applyFont="1">
      <alignment horizontal="center" readingOrder="0" vertical="center"/>
    </xf>
    <xf borderId="0" fillId="0" fontId="5" numFmtId="0" xfId="0" applyAlignment="1" applyFont="1">
      <alignment readingOrder="0"/>
    </xf>
    <xf borderId="1" fillId="9" fontId="2" numFmtId="0" xfId="0" applyAlignment="1" applyBorder="1" applyFont="1">
      <alignment horizontal="center" readingOrder="0" vertical="center"/>
    </xf>
    <xf borderId="25" fillId="0" fontId="3" numFmtId="0" xfId="0" applyBorder="1" applyFont="1"/>
    <xf borderId="1" fillId="10" fontId="2" numFmtId="0" xfId="0" applyAlignment="1" applyBorder="1" applyFill="1" applyFont="1">
      <alignment horizontal="center" readingOrder="0" vertical="center"/>
    </xf>
    <xf borderId="17" fillId="9" fontId="2" numFmtId="0" xfId="0" applyAlignment="1" applyBorder="1" applyFont="1">
      <alignment horizontal="center" readingOrder="0" vertical="center"/>
    </xf>
    <xf borderId="17" fillId="10" fontId="2" numFmtId="0" xfId="0" applyAlignment="1" applyBorder="1" applyFont="1">
      <alignment horizontal="center" readingOrder="0" vertical="center"/>
    </xf>
    <xf borderId="19" fillId="10" fontId="2" numFmtId="0" xfId="0" applyAlignment="1" applyBorder="1" applyFont="1">
      <alignment horizontal="center" readingOrder="0" vertical="center"/>
    </xf>
    <xf borderId="3" fillId="0" fontId="5" numFmtId="0" xfId="0" applyAlignment="1" applyBorder="1" applyFont="1">
      <alignment horizontal="center" vertical="center"/>
    </xf>
    <xf borderId="0" fillId="0" fontId="5" numFmtId="0" xfId="0" applyAlignment="1" applyFont="1">
      <alignment horizontal="center" readingOrder="0" vertical="center"/>
    </xf>
    <xf borderId="1" fillId="11" fontId="2" numFmtId="0" xfId="0" applyAlignment="1" applyBorder="1" applyFill="1" applyFont="1">
      <alignment horizontal="center" readingOrder="0" vertical="center"/>
    </xf>
    <xf borderId="17" fillId="11" fontId="2" numFmtId="0" xfId="0" applyAlignment="1" applyBorder="1" applyFont="1">
      <alignment horizontal="center" readingOrder="0" vertical="center"/>
    </xf>
    <xf borderId="19" fillId="11" fontId="2" numFmtId="0" xfId="0" applyAlignment="1" applyBorder="1" applyFont="1">
      <alignment horizontal="center" readingOrder="0" vertical="center"/>
    </xf>
    <xf borderId="0" fillId="0" fontId="5" numFmtId="0" xfId="0" applyAlignment="1" applyFont="1">
      <alignment horizontal="center" vertical="center"/>
    </xf>
  </cellXfs>
  <cellStyles count="1">
    <cellStyle xfId="0" name="Normal" builtinId="0"/>
  </cellStyles>
  <dxfs count="2">
    <dxf>
      <font/>
      <fill>
        <patternFill patternType="solid">
          <fgColor rgb="FFB7E1CD"/>
          <bgColor rgb="FFB7E1CD"/>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88"/>
    <col customWidth="1" min="13" max="13" width="2.5"/>
    <col customWidth="1" min="14" max="14" width="11.75"/>
    <col customWidth="1" min="15" max="15" width="1.5"/>
  </cols>
  <sheetData>
    <row r="1">
      <c r="A1" s="1"/>
    </row>
    <row r="5">
      <c r="B5" s="2" t="s">
        <v>0</v>
      </c>
      <c r="C5" s="3"/>
      <c r="D5" s="4" t="s">
        <v>1</v>
      </c>
      <c r="E5" s="3"/>
      <c r="F5" s="4" t="s">
        <v>2</v>
      </c>
      <c r="G5" s="3"/>
      <c r="H5" s="5" t="s">
        <v>3</v>
      </c>
      <c r="I5" s="3"/>
      <c r="J5" s="4" t="s">
        <v>4</v>
      </c>
      <c r="K5" s="3"/>
      <c r="L5" s="4" t="s">
        <v>5</v>
      </c>
      <c r="M5" s="3"/>
      <c r="N5" s="4" t="s">
        <v>6</v>
      </c>
      <c r="O5" s="6"/>
    </row>
    <row r="6">
      <c r="B6" s="7"/>
      <c r="C6" s="8"/>
      <c r="D6" s="9"/>
      <c r="E6" s="8"/>
      <c r="F6" s="9"/>
      <c r="G6" s="8"/>
      <c r="H6" s="9"/>
      <c r="I6" s="8"/>
      <c r="J6" s="9"/>
      <c r="K6" s="8"/>
      <c r="L6" s="9"/>
      <c r="M6" s="8"/>
      <c r="N6" s="9"/>
      <c r="O6" s="10"/>
    </row>
    <row r="7">
      <c r="B7" s="11">
        <v>1.0</v>
      </c>
      <c r="C7" s="3"/>
      <c r="D7" s="12" t="s">
        <v>7</v>
      </c>
      <c r="E7" s="3"/>
      <c r="F7" s="12" t="s">
        <v>8</v>
      </c>
      <c r="G7" s="3"/>
      <c r="H7" s="12" t="s">
        <v>9</v>
      </c>
      <c r="I7" s="3"/>
      <c r="J7" s="12" t="s">
        <v>10</v>
      </c>
      <c r="K7" s="3"/>
      <c r="L7" s="12">
        <v>3.0</v>
      </c>
      <c r="M7" s="3"/>
      <c r="N7" s="12">
        <v>35.0</v>
      </c>
      <c r="O7" s="6"/>
    </row>
    <row r="8">
      <c r="B8" s="13"/>
      <c r="C8" s="14"/>
      <c r="D8" s="15"/>
      <c r="E8" s="14"/>
      <c r="F8" s="15"/>
      <c r="G8" s="14"/>
      <c r="H8" s="15"/>
      <c r="I8" s="14"/>
      <c r="J8" s="15"/>
      <c r="K8" s="14"/>
      <c r="L8" s="15"/>
      <c r="M8" s="14"/>
      <c r="N8" s="15"/>
      <c r="O8" s="16"/>
    </row>
    <row r="9">
      <c r="B9" s="17">
        <v>1.0</v>
      </c>
      <c r="C9" s="18"/>
      <c r="D9" s="19" t="s">
        <v>11</v>
      </c>
      <c r="E9" s="18"/>
      <c r="F9" s="19" t="s">
        <v>12</v>
      </c>
      <c r="G9" s="18"/>
      <c r="H9" s="19" t="s">
        <v>13</v>
      </c>
      <c r="I9" s="18"/>
      <c r="J9" s="19" t="s">
        <v>10</v>
      </c>
      <c r="K9" s="18"/>
      <c r="L9" s="19">
        <v>3.0</v>
      </c>
      <c r="M9" s="18"/>
      <c r="N9" s="19">
        <v>35.0</v>
      </c>
      <c r="O9" s="20"/>
    </row>
    <row r="10">
      <c r="B10" s="13"/>
      <c r="C10" s="14"/>
      <c r="D10" s="15"/>
      <c r="E10" s="14"/>
      <c r="F10" s="15"/>
      <c r="G10" s="14"/>
      <c r="H10" s="15"/>
      <c r="I10" s="14"/>
      <c r="J10" s="15"/>
      <c r="K10" s="14"/>
      <c r="L10" s="15"/>
      <c r="M10" s="14"/>
      <c r="N10" s="15"/>
      <c r="O10" s="16"/>
    </row>
    <row r="11">
      <c r="B11" s="17">
        <v>1.0</v>
      </c>
      <c r="C11" s="18"/>
      <c r="D11" s="19" t="s">
        <v>9</v>
      </c>
      <c r="E11" s="18"/>
      <c r="F11" s="19" t="s">
        <v>10</v>
      </c>
      <c r="G11" s="18"/>
      <c r="H11" s="19" t="s">
        <v>14</v>
      </c>
      <c r="I11" s="18"/>
      <c r="J11" s="19" t="s">
        <v>15</v>
      </c>
      <c r="K11" s="18"/>
      <c r="L11" s="19">
        <v>3.0</v>
      </c>
      <c r="M11" s="18"/>
      <c r="N11" s="19">
        <v>35.0</v>
      </c>
      <c r="O11" s="20"/>
    </row>
    <row r="12">
      <c r="B12" s="13"/>
      <c r="C12" s="14"/>
      <c r="D12" s="15"/>
      <c r="E12" s="14"/>
      <c r="F12" s="15"/>
      <c r="G12" s="14"/>
      <c r="H12" s="15"/>
      <c r="I12" s="14"/>
      <c r="J12" s="15"/>
      <c r="K12" s="14"/>
      <c r="L12" s="15"/>
      <c r="M12" s="14"/>
      <c r="N12" s="15"/>
      <c r="O12" s="16"/>
    </row>
    <row r="13">
      <c r="B13" s="21">
        <v>1.0</v>
      </c>
      <c r="C13" s="22"/>
      <c r="D13" s="23" t="s">
        <v>13</v>
      </c>
      <c r="E13" s="22"/>
      <c r="F13" s="23" t="s">
        <v>10</v>
      </c>
      <c r="G13" s="22"/>
      <c r="H13" s="23" t="s">
        <v>14</v>
      </c>
      <c r="I13" s="22"/>
      <c r="J13" s="23" t="s">
        <v>15</v>
      </c>
      <c r="K13" s="22"/>
      <c r="L13" s="23">
        <v>3.0</v>
      </c>
      <c r="M13" s="22"/>
      <c r="N13" s="23">
        <v>35.0</v>
      </c>
      <c r="O13" s="24"/>
    </row>
    <row r="14">
      <c r="B14" s="13"/>
      <c r="C14" s="14"/>
      <c r="D14" s="15"/>
      <c r="E14" s="14"/>
      <c r="F14" s="15"/>
      <c r="G14" s="14"/>
      <c r="H14" s="15"/>
      <c r="I14" s="14"/>
      <c r="J14" s="15"/>
      <c r="K14" s="14"/>
      <c r="L14" s="15"/>
      <c r="M14" s="14"/>
      <c r="N14" s="15"/>
      <c r="O14" s="16"/>
    </row>
    <row r="15">
      <c r="B15" s="21">
        <v>1.0</v>
      </c>
      <c r="C15" s="22"/>
      <c r="D15" s="23" t="s">
        <v>14</v>
      </c>
      <c r="E15" s="22"/>
      <c r="F15" s="23" t="s">
        <v>15</v>
      </c>
      <c r="G15" s="22"/>
      <c r="H15" s="23" t="s">
        <v>16</v>
      </c>
      <c r="I15" s="22"/>
      <c r="J15" s="23" t="s">
        <v>17</v>
      </c>
      <c r="K15" s="22"/>
      <c r="L15" s="23">
        <v>3.0</v>
      </c>
      <c r="M15" s="22"/>
      <c r="N15" s="23">
        <v>35.0</v>
      </c>
      <c r="O15" s="24"/>
    </row>
    <row r="16">
      <c r="B16" s="13"/>
      <c r="C16" s="14"/>
      <c r="D16" s="15"/>
      <c r="E16" s="14"/>
      <c r="F16" s="15"/>
      <c r="G16" s="14"/>
      <c r="H16" s="15"/>
      <c r="I16" s="14"/>
      <c r="J16" s="15"/>
      <c r="K16" s="14"/>
      <c r="L16" s="15"/>
      <c r="M16" s="14"/>
      <c r="N16" s="15"/>
      <c r="O16" s="16"/>
    </row>
    <row r="17">
      <c r="B17" s="21">
        <v>1.0</v>
      </c>
      <c r="C17" s="22"/>
      <c r="D17" s="23" t="s">
        <v>16</v>
      </c>
      <c r="E17" s="22"/>
      <c r="F17" s="23" t="s">
        <v>17</v>
      </c>
      <c r="G17" s="22"/>
      <c r="H17" s="23" t="s">
        <v>18</v>
      </c>
      <c r="I17" s="22"/>
      <c r="J17" s="23" t="s">
        <v>19</v>
      </c>
      <c r="K17" s="22"/>
      <c r="L17" s="23">
        <v>2.0</v>
      </c>
      <c r="M17" s="22"/>
      <c r="N17" s="23">
        <v>35.0</v>
      </c>
      <c r="O17" s="24"/>
    </row>
    <row r="18">
      <c r="B18" s="13"/>
      <c r="C18" s="14"/>
      <c r="D18" s="15"/>
      <c r="E18" s="14"/>
      <c r="F18" s="15"/>
      <c r="G18" s="14"/>
      <c r="H18" s="15"/>
      <c r="I18" s="14"/>
      <c r="J18" s="15"/>
      <c r="K18" s="14"/>
      <c r="L18" s="15"/>
      <c r="M18" s="14"/>
      <c r="N18" s="15"/>
      <c r="O18" s="16"/>
    </row>
    <row r="19">
      <c r="B19" s="21">
        <v>1.0</v>
      </c>
      <c r="C19" s="22"/>
      <c r="D19" s="23" t="s">
        <v>18</v>
      </c>
      <c r="E19" s="22"/>
      <c r="F19" s="23" t="s">
        <v>19</v>
      </c>
      <c r="G19" s="22"/>
      <c r="H19" s="23" t="s">
        <v>20</v>
      </c>
      <c r="I19" s="22"/>
      <c r="J19" s="23" t="s">
        <v>21</v>
      </c>
      <c r="K19" s="22"/>
      <c r="L19" s="23">
        <v>3.0</v>
      </c>
      <c r="M19" s="22"/>
      <c r="N19" s="23">
        <v>35.0</v>
      </c>
      <c r="O19" s="24"/>
    </row>
    <row r="20">
      <c r="B20" s="13"/>
      <c r="C20" s="14"/>
      <c r="D20" s="15"/>
      <c r="E20" s="14"/>
      <c r="F20" s="15"/>
      <c r="G20" s="14"/>
      <c r="H20" s="15"/>
      <c r="I20" s="14"/>
      <c r="J20" s="15"/>
      <c r="K20" s="14"/>
      <c r="L20" s="15"/>
      <c r="M20" s="14"/>
      <c r="N20" s="15"/>
      <c r="O20" s="16"/>
    </row>
    <row r="21">
      <c r="B21" s="21">
        <v>1.0</v>
      </c>
      <c r="C21" s="22"/>
      <c r="D21" s="23" t="s">
        <v>20</v>
      </c>
      <c r="E21" s="22"/>
      <c r="F21" s="23" t="s">
        <v>21</v>
      </c>
      <c r="G21" s="22"/>
      <c r="H21" s="23" t="s">
        <v>22</v>
      </c>
      <c r="I21" s="22"/>
      <c r="J21" s="23" t="s">
        <v>23</v>
      </c>
      <c r="K21" s="22"/>
      <c r="L21" s="23">
        <v>3.0</v>
      </c>
      <c r="M21" s="22"/>
      <c r="N21" s="23">
        <v>35.0</v>
      </c>
      <c r="O21" s="24"/>
    </row>
    <row r="22">
      <c r="B22" s="13"/>
      <c r="C22" s="14"/>
      <c r="D22" s="15"/>
      <c r="E22" s="14"/>
      <c r="F22" s="15"/>
      <c r="G22" s="14"/>
      <c r="H22" s="15"/>
      <c r="I22" s="14"/>
      <c r="J22" s="15"/>
      <c r="K22" s="14"/>
      <c r="L22" s="15"/>
      <c r="M22" s="14"/>
      <c r="N22" s="15"/>
      <c r="O22" s="16"/>
    </row>
    <row r="23">
      <c r="B23" s="21">
        <v>1.0</v>
      </c>
      <c r="C23" s="22"/>
      <c r="D23" s="23" t="s">
        <v>22</v>
      </c>
      <c r="E23" s="22"/>
      <c r="F23" s="23" t="s">
        <v>23</v>
      </c>
      <c r="G23" s="22"/>
      <c r="H23" s="23" t="s">
        <v>24</v>
      </c>
      <c r="I23" s="22"/>
      <c r="J23" s="23" t="s">
        <v>25</v>
      </c>
      <c r="K23" s="22"/>
      <c r="L23" s="23">
        <v>2.5</v>
      </c>
      <c r="M23" s="22"/>
      <c r="N23" s="23">
        <v>30.0</v>
      </c>
      <c r="O23" s="24"/>
    </row>
    <row r="24">
      <c r="B24" s="7"/>
      <c r="C24" s="8"/>
      <c r="D24" s="9"/>
      <c r="E24" s="8"/>
      <c r="F24" s="9"/>
      <c r="G24" s="8"/>
      <c r="H24" s="9"/>
      <c r="I24" s="8"/>
      <c r="J24" s="9"/>
      <c r="K24" s="8"/>
      <c r="L24" s="9"/>
      <c r="M24" s="8"/>
      <c r="N24" s="9"/>
      <c r="O24" s="10"/>
    </row>
    <row r="25">
      <c r="B25" s="25">
        <v>3.0</v>
      </c>
      <c r="C25" s="3"/>
      <c r="D25" s="12" t="s">
        <v>26</v>
      </c>
      <c r="E25" s="3"/>
      <c r="F25" s="12" t="s">
        <v>27</v>
      </c>
      <c r="G25" s="3"/>
      <c r="H25" s="12" t="s">
        <v>28</v>
      </c>
      <c r="I25" s="3"/>
      <c r="J25" s="12" t="s">
        <v>29</v>
      </c>
      <c r="K25" s="3"/>
      <c r="L25" s="12">
        <v>2.0</v>
      </c>
      <c r="M25" s="3"/>
      <c r="N25" s="12">
        <v>25.0</v>
      </c>
      <c r="O25" s="6"/>
    </row>
    <row r="26">
      <c r="B26" s="13"/>
      <c r="C26" s="14"/>
      <c r="D26" s="15"/>
      <c r="E26" s="14"/>
      <c r="F26" s="15"/>
      <c r="G26" s="14"/>
      <c r="H26" s="15"/>
      <c r="I26" s="14"/>
      <c r="J26" s="15"/>
      <c r="K26" s="14"/>
      <c r="L26" s="15"/>
      <c r="M26" s="14"/>
      <c r="N26" s="15"/>
      <c r="O26" s="16"/>
    </row>
    <row r="27">
      <c r="B27" s="26">
        <v>3.0</v>
      </c>
      <c r="C27" s="22"/>
      <c r="D27" s="23" t="s">
        <v>28</v>
      </c>
      <c r="E27" s="22"/>
      <c r="F27" s="23" t="s">
        <v>29</v>
      </c>
      <c r="G27" s="22"/>
      <c r="H27" s="23" t="s">
        <v>30</v>
      </c>
      <c r="I27" s="22"/>
      <c r="J27" s="23" t="s">
        <v>31</v>
      </c>
      <c r="K27" s="22"/>
      <c r="L27" s="23">
        <v>2.0</v>
      </c>
      <c r="M27" s="22"/>
      <c r="N27" s="23">
        <v>25.0</v>
      </c>
      <c r="O27" s="24"/>
    </row>
    <row r="28">
      <c r="B28" s="13"/>
      <c r="C28" s="14"/>
      <c r="D28" s="15"/>
      <c r="E28" s="14"/>
      <c r="F28" s="15"/>
      <c r="G28" s="14"/>
      <c r="H28" s="15"/>
      <c r="I28" s="14"/>
      <c r="J28" s="15"/>
      <c r="K28" s="14"/>
      <c r="L28" s="15"/>
      <c r="M28" s="14"/>
      <c r="N28" s="15"/>
      <c r="O28" s="16"/>
    </row>
    <row r="29">
      <c r="B29" s="26">
        <v>3.0</v>
      </c>
      <c r="C29" s="22"/>
      <c r="D29" s="23" t="s">
        <v>30</v>
      </c>
      <c r="E29" s="22"/>
      <c r="F29" s="23" t="s">
        <v>31</v>
      </c>
      <c r="G29" s="22"/>
      <c r="H29" s="23" t="s">
        <v>32</v>
      </c>
      <c r="I29" s="22"/>
      <c r="J29" s="23" t="s">
        <v>33</v>
      </c>
      <c r="K29" s="22"/>
      <c r="L29" s="23">
        <v>3.0</v>
      </c>
      <c r="M29" s="22"/>
      <c r="N29" s="23">
        <v>35.0</v>
      </c>
      <c r="O29" s="24"/>
    </row>
    <row r="30">
      <c r="B30" s="13"/>
      <c r="C30" s="14"/>
      <c r="D30" s="15"/>
      <c r="E30" s="14"/>
      <c r="F30" s="15"/>
      <c r="G30" s="14"/>
      <c r="H30" s="15"/>
      <c r="I30" s="14"/>
      <c r="J30" s="15"/>
      <c r="K30" s="14"/>
      <c r="L30" s="15"/>
      <c r="M30" s="14"/>
      <c r="N30" s="15"/>
      <c r="O30" s="16"/>
    </row>
    <row r="31">
      <c r="B31" s="26">
        <v>3.0</v>
      </c>
      <c r="C31" s="22"/>
      <c r="D31" s="23" t="s">
        <v>32</v>
      </c>
      <c r="E31" s="22"/>
      <c r="F31" s="23" t="s">
        <v>33</v>
      </c>
      <c r="G31" s="22"/>
      <c r="H31" s="23" t="s">
        <v>34</v>
      </c>
      <c r="I31" s="22"/>
      <c r="J31" s="23" t="s">
        <v>35</v>
      </c>
      <c r="K31" s="22"/>
      <c r="L31" s="23">
        <v>3.0</v>
      </c>
      <c r="M31" s="22"/>
      <c r="N31" s="23">
        <v>35.0</v>
      </c>
      <c r="O31" s="24"/>
    </row>
    <row r="32">
      <c r="B32" s="13"/>
      <c r="C32" s="14"/>
      <c r="D32" s="15"/>
      <c r="E32" s="14"/>
      <c r="F32" s="15"/>
      <c r="G32" s="14"/>
      <c r="H32" s="15"/>
      <c r="I32" s="14"/>
      <c r="J32" s="15"/>
      <c r="K32" s="14"/>
      <c r="L32" s="15"/>
      <c r="M32" s="14"/>
      <c r="N32" s="15"/>
      <c r="O32" s="16"/>
    </row>
    <row r="33">
      <c r="B33" s="26">
        <v>3.0</v>
      </c>
      <c r="C33" s="22"/>
      <c r="D33" s="23" t="s">
        <v>34</v>
      </c>
      <c r="E33" s="22"/>
      <c r="F33" s="23" t="s">
        <v>35</v>
      </c>
      <c r="G33" s="22"/>
      <c r="H33" s="23" t="s">
        <v>36</v>
      </c>
      <c r="I33" s="22"/>
      <c r="J33" s="23" t="s">
        <v>37</v>
      </c>
      <c r="K33" s="22"/>
      <c r="L33" s="23">
        <v>2.0</v>
      </c>
      <c r="M33" s="22"/>
      <c r="N33" s="23">
        <v>25.0</v>
      </c>
      <c r="O33" s="24"/>
    </row>
    <row r="34">
      <c r="B34" s="13"/>
      <c r="C34" s="14"/>
      <c r="D34" s="15"/>
      <c r="E34" s="14"/>
      <c r="F34" s="15"/>
      <c r="G34" s="14"/>
      <c r="H34" s="15"/>
      <c r="I34" s="14"/>
      <c r="J34" s="15"/>
      <c r="K34" s="14"/>
      <c r="L34" s="15"/>
      <c r="M34" s="14"/>
      <c r="N34" s="15"/>
      <c r="O34" s="16"/>
    </row>
    <row r="35">
      <c r="B35" s="26">
        <v>3.0</v>
      </c>
      <c r="C35" s="22"/>
      <c r="D35" s="23" t="s">
        <v>36</v>
      </c>
      <c r="E35" s="22"/>
      <c r="F35" s="23" t="s">
        <v>37</v>
      </c>
      <c r="G35" s="22"/>
      <c r="H35" s="23" t="s">
        <v>38</v>
      </c>
      <c r="I35" s="22"/>
      <c r="J35" s="23" t="s">
        <v>39</v>
      </c>
      <c r="K35" s="22"/>
      <c r="L35" s="23">
        <v>2.0</v>
      </c>
      <c r="M35" s="22"/>
      <c r="N35" s="23">
        <v>25.0</v>
      </c>
      <c r="O35" s="24"/>
    </row>
    <row r="36">
      <c r="B36" s="13"/>
      <c r="C36" s="14"/>
      <c r="D36" s="15"/>
      <c r="E36" s="14"/>
      <c r="F36" s="15"/>
      <c r="G36" s="14"/>
      <c r="H36" s="15"/>
      <c r="I36" s="14"/>
      <c r="J36" s="15"/>
      <c r="K36" s="14"/>
      <c r="L36" s="15"/>
      <c r="M36" s="14"/>
      <c r="N36" s="15"/>
      <c r="O36" s="16"/>
    </row>
    <row r="37">
      <c r="B37" s="26">
        <v>3.0</v>
      </c>
      <c r="C37" s="22"/>
      <c r="D37" s="23" t="s">
        <v>38</v>
      </c>
      <c r="E37" s="22"/>
      <c r="F37" s="23" t="s">
        <v>39</v>
      </c>
      <c r="G37" s="22"/>
      <c r="H37" s="23" t="s">
        <v>40</v>
      </c>
      <c r="I37" s="22"/>
      <c r="J37" s="23" t="s">
        <v>41</v>
      </c>
      <c r="K37" s="22"/>
      <c r="L37" s="23">
        <v>2.0</v>
      </c>
      <c r="M37" s="22"/>
      <c r="N37" s="23">
        <v>25.0</v>
      </c>
      <c r="O37" s="24"/>
    </row>
    <row r="38">
      <c r="B38" s="13"/>
      <c r="C38" s="14"/>
      <c r="D38" s="15"/>
      <c r="E38" s="14"/>
      <c r="F38" s="15"/>
      <c r="G38" s="14"/>
      <c r="H38" s="15"/>
      <c r="I38" s="14"/>
      <c r="J38" s="15"/>
      <c r="K38" s="14"/>
      <c r="L38" s="15"/>
      <c r="M38" s="14"/>
      <c r="N38" s="15"/>
      <c r="O38" s="16"/>
    </row>
    <row r="39">
      <c r="B39" s="26">
        <v>3.0</v>
      </c>
      <c r="C39" s="22"/>
      <c r="D39" s="27" t="s">
        <v>40</v>
      </c>
      <c r="E39" s="22"/>
      <c r="F39" s="23" t="s">
        <v>41</v>
      </c>
      <c r="G39" s="22"/>
      <c r="H39" s="27" t="s">
        <v>42</v>
      </c>
      <c r="I39" s="22"/>
      <c r="J39" s="27" t="s">
        <v>43</v>
      </c>
      <c r="K39" s="22"/>
      <c r="L39" s="23">
        <v>2.0</v>
      </c>
      <c r="M39" s="22"/>
      <c r="N39" s="23">
        <v>25.0</v>
      </c>
      <c r="O39" s="24"/>
    </row>
    <row r="40">
      <c r="B40" s="13"/>
      <c r="C40" s="14"/>
      <c r="D40" s="15"/>
      <c r="E40" s="14"/>
      <c r="F40" s="15"/>
      <c r="G40" s="14"/>
      <c r="H40" s="15"/>
      <c r="I40" s="14"/>
      <c r="J40" s="15"/>
      <c r="K40" s="14"/>
      <c r="L40" s="15"/>
      <c r="M40" s="14"/>
      <c r="N40" s="15"/>
      <c r="O40" s="16"/>
    </row>
    <row r="41">
      <c r="B41" s="26">
        <v>3.0</v>
      </c>
      <c r="C41" s="22"/>
      <c r="D41" s="27" t="s">
        <v>42</v>
      </c>
      <c r="E41" s="22"/>
      <c r="F41" s="23" t="s">
        <v>43</v>
      </c>
      <c r="G41" s="22"/>
      <c r="H41" s="27" t="s">
        <v>44</v>
      </c>
      <c r="I41" s="22"/>
      <c r="J41" s="27" t="s">
        <v>45</v>
      </c>
      <c r="K41" s="22"/>
      <c r="L41" s="23">
        <v>2.0</v>
      </c>
      <c r="M41" s="22"/>
      <c r="N41" s="23">
        <v>25.0</v>
      </c>
      <c r="O41" s="24"/>
    </row>
    <row r="42">
      <c r="B42" s="13"/>
      <c r="C42" s="14"/>
      <c r="D42" s="15"/>
      <c r="E42" s="14"/>
      <c r="F42" s="15"/>
      <c r="G42" s="14"/>
      <c r="H42" s="15"/>
      <c r="I42" s="14"/>
      <c r="J42" s="15"/>
      <c r="K42" s="14"/>
      <c r="L42" s="15"/>
      <c r="M42" s="14"/>
      <c r="N42" s="15"/>
      <c r="O42" s="16"/>
    </row>
    <row r="43">
      <c r="B43" s="26">
        <v>3.0</v>
      </c>
      <c r="C43" s="22"/>
      <c r="D43" s="27" t="s">
        <v>44</v>
      </c>
      <c r="E43" s="22"/>
      <c r="F43" s="23" t="s">
        <v>45</v>
      </c>
      <c r="G43" s="22"/>
      <c r="H43" s="27" t="s">
        <v>46</v>
      </c>
      <c r="I43" s="22"/>
      <c r="J43" s="27" t="s">
        <v>47</v>
      </c>
      <c r="K43" s="22"/>
      <c r="L43" s="23">
        <v>2.0</v>
      </c>
      <c r="M43" s="22"/>
      <c r="N43" s="23">
        <v>25.0</v>
      </c>
      <c r="O43" s="24"/>
    </row>
    <row r="44">
      <c r="B44" s="13"/>
      <c r="C44" s="14"/>
      <c r="D44" s="15"/>
      <c r="E44" s="14"/>
      <c r="F44" s="15"/>
      <c r="G44" s="14"/>
      <c r="H44" s="15"/>
      <c r="I44" s="14"/>
      <c r="J44" s="15"/>
      <c r="K44" s="14"/>
      <c r="L44" s="15"/>
      <c r="M44" s="14"/>
      <c r="N44" s="15"/>
      <c r="O44" s="16"/>
    </row>
    <row r="45">
      <c r="B45" s="26">
        <v>3.0</v>
      </c>
      <c r="C45" s="22"/>
      <c r="D45" s="27" t="s">
        <v>46</v>
      </c>
      <c r="E45" s="22"/>
      <c r="F45" s="23" t="s">
        <v>47</v>
      </c>
      <c r="G45" s="22"/>
      <c r="H45" s="27" t="s">
        <v>48</v>
      </c>
      <c r="I45" s="22"/>
      <c r="J45" s="27" t="s">
        <v>49</v>
      </c>
      <c r="K45" s="22"/>
      <c r="L45" s="23">
        <v>2.0</v>
      </c>
      <c r="M45" s="22"/>
      <c r="N45" s="23">
        <v>25.0</v>
      </c>
      <c r="O45" s="24"/>
    </row>
    <row r="46">
      <c r="B46" s="13"/>
      <c r="C46" s="14"/>
      <c r="D46" s="15"/>
      <c r="E46" s="14"/>
      <c r="F46" s="15"/>
      <c r="G46" s="14"/>
      <c r="H46" s="15"/>
      <c r="I46" s="14"/>
      <c r="J46" s="15"/>
      <c r="K46" s="14"/>
      <c r="L46" s="15"/>
      <c r="M46" s="14"/>
      <c r="N46" s="15"/>
      <c r="O46" s="16"/>
    </row>
    <row r="47">
      <c r="B47" s="26">
        <v>3.0</v>
      </c>
      <c r="C47" s="22"/>
      <c r="D47" s="27" t="s">
        <v>48</v>
      </c>
      <c r="E47" s="22"/>
      <c r="F47" s="23" t="s">
        <v>49</v>
      </c>
      <c r="G47" s="22"/>
      <c r="H47" s="27" t="s">
        <v>24</v>
      </c>
      <c r="I47" s="22"/>
      <c r="J47" s="27" t="s">
        <v>25</v>
      </c>
      <c r="K47" s="22"/>
      <c r="L47" s="23">
        <v>3.0</v>
      </c>
      <c r="M47" s="22"/>
      <c r="N47" s="23">
        <v>35.0</v>
      </c>
      <c r="O47" s="24"/>
    </row>
    <row r="48">
      <c r="B48" s="13"/>
      <c r="C48" s="14"/>
      <c r="D48" s="15"/>
      <c r="E48" s="14"/>
      <c r="F48" s="15"/>
      <c r="G48" s="14"/>
      <c r="H48" s="15"/>
      <c r="I48" s="14"/>
      <c r="J48" s="15"/>
      <c r="K48" s="14"/>
      <c r="L48" s="15"/>
      <c r="M48" s="14"/>
      <c r="N48" s="15"/>
      <c r="O48" s="16"/>
    </row>
    <row r="49">
      <c r="B49" s="26">
        <v>3.0</v>
      </c>
      <c r="C49" s="22"/>
      <c r="D49" s="27" t="s">
        <v>24</v>
      </c>
      <c r="E49" s="22"/>
      <c r="F49" s="23" t="s">
        <v>25</v>
      </c>
      <c r="G49" s="22"/>
      <c r="H49" s="27" t="s">
        <v>50</v>
      </c>
      <c r="I49" s="22"/>
      <c r="J49" s="27" t="s">
        <v>51</v>
      </c>
      <c r="K49" s="22"/>
      <c r="L49" s="23">
        <v>2.0</v>
      </c>
      <c r="M49" s="22"/>
      <c r="N49" s="23">
        <v>25.0</v>
      </c>
      <c r="O49" s="24"/>
    </row>
    <row r="50">
      <c r="B50" s="7"/>
      <c r="C50" s="8"/>
      <c r="D50" s="9"/>
      <c r="E50" s="8"/>
      <c r="F50" s="9"/>
      <c r="G50" s="8"/>
      <c r="H50" s="9"/>
      <c r="I50" s="8"/>
      <c r="J50" s="9"/>
      <c r="K50" s="8"/>
      <c r="L50" s="9"/>
      <c r="M50" s="8"/>
      <c r="N50" s="9"/>
      <c r="O50" s="10"/>
    </row>
    <row r="51">
      <c r="B51" s="28">
        <v>7.0</v>
      </c>
      <c r="C51" s="3"/>
      <c r="D51" s="12" t="s">
        <v>52</v>
      </c>
      <c r="E51" s="3"/>
      <c r="F51" s="12" t="s">
        <v>53</v>
      </c>
      <c r="G51" s="3"/>
      <c r="H51" s="12" t="s">
        <v>54</v>
      </c>
      <c r="I51" s="3"/>
      <c r="J51" s="12" t="s">
        <v>55</v>
      </c>
      <c r="K51" s="3"/>
      <c r="L51" s="12">
        <v>3.0</v>
      </c>
      <c r="M51" s="3"/>
      <c r="N51" s="12">
        <v>35.0</v>
      </c>
      <c r="O51" s="6"/>
    </row>
    <row r="52">
      <c r="B52" s="13"/>
      <c r="C52" s="14"/>
      <c r="D52" s="15"/>
      <c r="E52" s="14"/>
      <c r="F52" s="15"/>
      <c r="G52" s="14"/>
      <c r="H52" s="15"/>
      <c r="I52" s="14"/>
      <c r="J52" s="15"/>
      <c r="K52" s="14"/>
      <c r="L52" s="15"/>
      <c r="M52" s="14"/>
      <c r="N52" s="15"/>
      <c r="O52" s="16"/>
    </row>
    <row r="53">
      <c r="B53" s="29">
        <v>7.0</v>
      </c>
      <c r="C53" s="22"/>
      <c r="D53" s="23" t="s">
        <v>54</v>
      </c>
      <c r="E53" s="22"/>
      <c r="F53" s="23" t="s">
        <v>55</v>
      </c>
      <c r="G53" s="22"/>
      <c r="H53" s="23" t="s">
        <v>56</v>
      </c>
      <c r="I53" s="22"/>
      <c r="J53" s="23" t="s">
        <v>57</v>
      </c>
      <c r="K53" s="22"/>
      <c r="L53" s="23">
        <v>2.0</v>
      </c>
      <c r="M53" s="22"/>
      <c r="N53" s="23">
        <v>25.0</v>
      </c>
      <c r="O53" s="24"/>
    </row>
    <row r="54">
      <c r="B54" s="13"/>
      <c r="C54" s="14"/>
      <c r="D54" s="15"/>
      <c r="E54" s="14"/>
      <c r="F54" s="15"/>
      <c r="G54" s="14"/>
      <c r="H54" s="15"/>
      <c r="I54" s="14"/>
      <c r="J54" s="15"/>
      <c r="K54" s="14"/>
      <c r="L54" s="15"/>
      <c r="M54" s="14"/>
      <c r="N54" s="15"/>
      <c r="O54" s="16"/>
    </row>
    <row r="55">
      <c r="B55" s="29">
        <v>7.0</v>
      </c>
      <c r="C55" s="22"/>
      <c r="D55" s="23" t="s">
        <v>56</v>
      </c>
      <c r="E55" s="22"/>
      <c r="F55" s="23" t="s">
        <v>57</v>
      </c>
      <c r="G55" s="22"/>
      <c r="H55" s="23" t="s">
        <v>58</v>
      </c>
      <c r="I55" s="22"/>
      <c r="J55" s="23" t="s">
        <v>59</v>
      </c>
      <c r="K55" s="22"/>
      <c r="L55" s="23">
        <v>2.0</v>
      </c>
      <c r="M55" s="22"/>
      <c r="N55" s="23">
        <v>25.0</v>
      </c>
      <c r="O55" s="24"/>
    </row>
    <row r="56">
      <c r="B56" s="13"/>
      <c r="C56" s="14"/>
      <c r="D56" s="15"/>
      <c r="E56" s="14"/>
      <c r="F56" s="15"/>
      <c r="G56" s="14"/>
      <c r="H56" s="15"/>
      <c r="I56" s="14"/>
      <c r="J56" s="15"/>
      <c r="K56" s="14"/>
      <c r="L56" s="15"/>
      <c r="M56" s="14"/>
      <c r="N56" s="15"/>
      <c r="O56" s="16"/>
    </row>
    <row r="57">
      <c r="B57" s="29">
        <v>7.0</v>
      </c>
      <c r="C57" s="22"/>
      <c r="D57" s="23" t="s">
        <v>58</v>
      </c>
      <c r="E57" s="22"/>
      <c r="F57" s="23" t="s">
        <v>59</v>
      </c>
      <c r="G57" s="22"/>
      <c r="H57" s="23" t="s">
        <v>9</v>
      </c>
      <c r="I57" s="22"/>
      <c r="J57" s="23" t="s">
        <v>10</v>
      </c>
      <c r="K57" s="22"/>
      <c r="L57" s="23">
        <v>3.0</v>
      </c>
      <c r="M57" s="22"/>
      <c r="N57" s="23">
        <v>35.0</v>
      </c>
      <c r="O57" s="24"/>
    </row>
    <row r="58">
      <c r="B58" s="13"/>
      <c r="C58" s="14"/>
      <c r="D58" s="15"/>
      <c r="E58" s="14"/>
      <c r="F58" s="15"/>
      <c r="G58" s="14"/>
      <c r="H58" s="15"/>
      <c r="I58" s="14"/>
      <c r="J58" s="15"/>
      <c r="K58" s="14"/>
      <c r="L58" s="15"/>
      <c r="M58" s="14"/>
      <c r="N58" s="15"/>
      <c r="O58" s="16"/>
    </row>
    <row r="59">
      <c r="B59" s="29">
        <v>7.0</v>
      </c>
      <c r="C59" s="22"/>
      <c r="D59" s="23" t="s">
        <v>58</v>
      </c>
      <c r="E59" s="22"/>
      <c r="F59" s="23" t="s">
        <v>59</v>
      </c>
      <c r="G59" s="22"/>
      <c r="H59" s="23" t="s">
        <v>60</v>
      </c>
      <c r="I59" s="22"/>
      <c r="J59" s="23" t="s">
        <v>10</v>
      </c>
      <c r="K59" s="22"/>
      <c r="L59" s="23">
        <v>3.0</v>
      </c>
      <c r="M59" s="22"/>
      <c r="N59" s="23">
        <v>35.0</v>
      </c>
      <c r="O59" s="24"/>
    </row>
    <row r="60">
      <c r="B60" s="13"/>
      <c r="C60" s="14"/>
      <c r="D60" s="15"/>
      <c r="E60" s="14"/>
      <c r="F60" s="15"/>
      <c r="G60" s="14"/>
      <c r="H60" s="15"/>
      <c r="I60" s="14"/>
      <c r="J60" s="15"/>
      <c r="K60" s="14"/>
      <c r="L60" s="15"/>
      <c r="M60" s="14"/>
      <c r="N60" s="15"/>
      <c r="O60" s="16"/>
    </row>
    <row r="61">
      <c r="B61" s="29">
        <v>7.0</v>
      </c>
      <c r="C61" s="22"/>
      <c r="D61" s="23" t="s">
        <v>9</v>
      </c>
      <c r="E61" s="22"/>
      <c r="F61" s="23" t="s">
        <v>10</v>
      </c>
      <c r="G61" s="22"/>
      <c r="H61" s="23" t="s">
        <v>61</v>
      </c>
      <c r="I61" s="22"/>
      <c r="J61" s="23" t="s">
        <v>62</v>
      </c>
      <c r="K61" s="22"/>
      <c r="L61" s="23">
        <v>2.0</v>
      </c>
      <c r="M61" s="22"/>
      <c r="N61" s="23">
        <v>25.0</v>
      </c>
      <c r="O61" s="24"/>
    </row>
    <row r="62">
      <c r="B62" s="13"/>
      <c r="C62" s="14"/>
      <c r="D62" s="15"/>
      <c r="E62" s="14"/>
      <c r="F62" s="15"/>
      <c r="G62" s="14"/>
      <c r="H62" s="15"/>
      <c r="I62" s="14"/>
      <c r="J62" s="15"/>
      <c r="K62" s="14"/>
      <c r="L62" s="15"/>
      <c r="M62" s="14"/>
      <c r="N62" s="15"/>
      <c r="O62" s="16"/>
    </row>
    <row r="63">
      <c r="B63" s="29">
        <v>7.0</v>
      </c>
      <c r="C63" s="22"/>
      <c r="D63" s="30" t="s">
        <v>60</v>
      </c>
      <c r="E63" s="22"/>
      <c r="F63" s="30" t="s">
        <v>10</v>
      </c>
      <c r="G63" s="22"/>
      <c r="H63" s="30" t="s">
        <v>61</v>
      </c>
      <c r="I63" s="22"/>
      <c r="J63" s="30" t="s">
        <v>62</v>
      </c>
      <c r="K63" s="22"/>
      <c r="L63" s="30">
        <v>2.0</v>
      </c>
      <c r="M63" s="22"/>
      <c r="N63" s="30">
        <v>25.0</v>
      </c>
      <c r="O63" s="24"/>
    </row>
    <row r="64">
      <c r="B64" s="13"/>
      <c r="C64" s="14"/>
      <c r="D64" s="15"/>
      <c r="E64" s="14"/>
      <c r="F64" s="15"/>
      <c r="G64" s="14"/>
      <c r="H64" s="15"/>
      <c r="I64" s="14"/>
      <c r="J64" s="15"/>
      <c r="K64" s="14"/>
      <c r="L64" s="15"/>
      <c r="M64" s="14"/>
      <c r="N64" s="15"/>
      <c r="O64" s="16"/>
    </row>
    <row r="65">
      <c r="B65" s="31">
        <v>7.0</v>
      </c>
      <c r="C65" s="18"/>
      <c r="D65" s="19" t="s">
        <v>61</v>
      </c>
      <c r="E65" s="18"/>
      <c r="F65" s="19" t="s">
        <v>62</v>
      </c>
      <c r="G65" s="18"/>
      <c r="H65" s="19" t="s">
        <v>63</v>
      </c>
      <c r="I65" s="18"/>
      <c r="J65" s="19" t="s">
        <v>64</v>
      </c>
      <c r="K65" s="18"/>
      <c r="L65" s="19">
        <v>3.0</v>
      </c>
      <c r="M65" s="18"/>
      <c r="N65" s="19">
        <v>35.0</v>
      </c>
      <c r="O65" s="20"/>
    </row>
    <row r="66">
      <c r="B66" s="13"/>
      <c r="C66" s="14"/>
      <c r="D66" s="15"/>
      <c r="E66" s="14"/>
      <c r="F66" s="15"/>
      <c r="G66" s="14"/>
      <c r="H66" s="15"/>
      <c r="I66" s="14"/>
      <c r="J66" s="15"/>
      <c r="K66" s="14"/>
      <c r="L66" s="15"/>
      <c r="M66" s="14"/>
      <c r="N66" s="15"/>
      <c r="O66" s="16"/>
    </row>
    <row r="67">
      <c r="B67" s="29">
        <v>7.0</v>
      </c>
      <c r="C67" s="22"/>
      <c r="D67" s="23" t="s">
        <v>63</v>
      </c>
      <c r="E67" s="22"/>
      <c r="F67" s="23" t="s">
        <v>64</v>
      </c>
      <c r="G67" s="22"/>
      <c r="H67" s="23" t="s">
        <v>65</v>
      </c>
      <c r="I67" s="22"/>
      <c r="J67" s="23" t="s">
        <v>66</v>
      </c>
      <c r="K67" s="22"/>
      <c r="L67" s="23">
        <v>2.0</v>
      </c>
      <c r="M67" s="22"/>
      <c r="N67" s="23">
        <v>25.0</v>
      </c>
      <c r="O67" s="24"/>
    </row>
    <row r="68">
      <c r="B68" s="7"/>
      <c r="C68" s="8"/>
      <c r="D68" s="9"/>
      <c r="E68" s="8"/>
      <c r="F68" s="9"/>
      <c r="G68" s="8"/>
      <c r="H68" s="9"/>
      <c r="I68" s="8"/>
      <c r="J68" s="9"/>
      <c r="K68" s="8"/>
      <c r="L68" s="9"/>
      <c r="M68" s="8"/>
      <c r="N68" s="9"/>
      <c r="O68" s="10"/>
    </row>
    <row r="69">
      <c r="B69" s="32">
        <v>9.0</v>
      </c>
      <c r="C69" s="3"/>
      <c r="D69" s="12" t="s">
        <v>13</v>
      </c>
      <c r="E69" s="3"/>
      <c r="F69" s="12" t="s">
        <v>10</v>
      </c>
      <c r="G69" s="3"/>
      <c r="H69" s="12" t="s">
        <v>67</v>
      </c>
      <c r="I69" s="3"/>
      <c r="J69" s="12" t="s">
        <v>68</v>
      </c>
      <c r="K69" s="3"/>
      <c r="L69" s="12">
        <v>2.0</v>
      </c>
      <c r="M69" s="3"/>
      <c r="N69" s="12">
        <v>25.0</v>
      </c>
      <c r="O69" s="6"/>
    </row>
    <row r="70">
      <c r="B70" s="13"/>
      <c r="C70" s="14"/>
      <c r="D70" s="15"/>
      <c r="E70" s="14"/>
      <c r="F70" s="15"/>
      <c r="G70" s="14"/>
      <c r="H70" s="15"/>
      <c r="I70" s="14"/>
      <c r="J70" s="15"/>
      <c r="K70" s="14"/>
      <c r="L70" s="15"/>
      <c r="M70" s="14"/>
      <c r="N70" s="15"/>
      <c r="O70" s="16"/>
    </row>
    <row r="71">
      <c r="B71" s="33">
        <v>9.0</v>
      </c>
      <c r="C71" s="18"/>
      <c r="D71" s="19" t="s">
        <v>60</v>
      </c>
      <c r="E71" s="18"/>
      <c r="F71" s="19" t="s">
        <v>10</v>
      </c>
      <c r="G71" s="18"/>
      <c r="H71" s="19" t="s">
        <v>67</v>
      </c>
      <c r="I71" s="18"/>
      <c r="J71" s="19" t="s">
        <v>68</v>
      </c>
      <c r="K71" s="18"/>
      <c r="L71" s="19">
        <v>2.0</v>
      </c>
      <c r="M71" s="18"/>
      <c r="N71" s="19">
        <v>25.0</v>
      </c>
      <c r="O71" s="20"/>
    </row>
    <row r="72">
      <c r="B72" s="13"/>
      <c r="C72" s="14"/>
      <c r="D72" s="15"/>
      <c r="E72" s="14"/>
      <c r="F72" s="15"/>
      <c r="G72" s="14"/>
      <c r="H72" s="15"/>
      <c r="I72" s="14"/>
      <c r="J72" s="15"/>
      <c r="K72" s="14"/>
      <c r="L72" s="15"/>
      <c r="M72" s="14"/>
      <c r="N72" s="15"/>
      <c r="O72" s="16"/>
    </row>
    <row r="73">
      <c r="B73" s="34">
        <v>9.0</v>
      </c>
      <c r="C73" s="22"/>
      <c r="D73" s="23" t="s">
        <v>67</v>
      </c>
      <c r="E73" s="22"/>
      <c r="F73" s="23" t="s">
        <v>68</v>
      </c>
      <c r="G73" s="22"/>
      <c r="H73" s="23" t="s">
        <v>69</v>
      </c>
      <c r="I73" s="22"/>
      <c r="J73" s="23" t="s">
        <v>70</v>
      </c>
      <c r="K73" s="22"/>
      <c r="L73" s="23">
        <v>2.0</v>
      </c>
      <c r="M73" s="22"/>
      <c r="N73" s="23">
        <v>25.0</v>
      </c>
      <c r="O73" s="24"/>
    </row>
    <row r="74">
      <c r="B74" s="13"/>
      <c r="C74" s="14"/>
      <c r="D74" s="15"/>
      <c r="E74" s="14"/>
      <c r="F74" s="15"/>
      <c r="G74" s="14"/>
      <c r="H74" s="15"/>
      <c r="I74" s="14"/>
      <c r="J74" s="15"/>
      <c r="K74" s="14"/>
      <c r="L74" s="15"/>
      <c r="M74" s="14"/>
      <c r="N74" s="15"/>
      <c r="O74" s="16"/>
    </row>
    <row r="75">
      <c r="B75" s="34">
        <v>9.0</v>
      </c>
      <c r="C75" s="22"/>
      <c r="D75" s="23" t="s">
        <v>69</v>
      </c>
      <c r="E75" s="22"/>
      <c r="F75" s="23" t="s">
        <v>70</v>
      </c>
      <c r="G75" s="22"/>
      <c r="H75" s="23" t="s">
        <v>44</v>
      </c>
      <c r="I75" s="22"/>
      <c r="J75" s="23" t="s">
        <v>71</v>
      </c>
      <c r="K75" s="22"/>
      <c r="L75" s="23">
        <v>2.0</v>
      </c>
      <c r="M75" s="22"/>
      <c r="N75" s="23">
        <v>25.0</v>
      </c>
      <c r="O75" s="24"/>
    </row>
    <row r="76">
      <c r="B76" s="13"/>
      <c r="C76" s="14"/>
      <c r="D76" s="15"/>
      <c r="E76" s="14"/>
      <c r="F76" s="15"/>
      <c r="G76" s="14"/>
      <c r="H76" s="15"/>
      <c r="I76" s="14"/>
      <c r="J76" s="15"/>
      <c r="K76" s="14"/>
      <c r="L76" s="15"/>
      <c r="M76" s="14"/>
      <c r="N76" s="15"/>
      <c r="O76" s="16"/>
    </row>
    <row r="77">
      <c r="B77" s="34">
        <v>9.0</v>
      </c>
      <c r="C77" s="22"/>
      <c r="D77" s="23" t="s">
        <v>44</v>
      </c>
      <c r="E77" s="22"/>
      <c r="F77" s="23" t="s">
        <v>71</v>
      </c>
      <c r="G77" s="22"/>
      <c r="H77" s="23" t="s">
        <v>72</v>
      </c>
      <c r="I77" s="22"/>
      <c r="J77" s="23" t="s">
        <v>73</v>
      </c>
      <c r="K77" s="22"/>
      <c r="L77" s="23">
        <v>3.0</v>
      </c>
      <c r="M77" s="22"/>
      <c r="N77" s="23">
        <v>35.0</v>
      </c>
      <c r="O77" s="24"/>
    </row>
    <row r="78">
      <c r="B78" s="7"/>
      <c r="C78" s="8"/>
      <c r="D78" s="9"/>
      <c r="E78" s="8"/>
      <c r="F78" s="9"/>
      <c r="G78" s="8"/>
      <c r="H78" s="9"/>
      <c r="I78" s="8"/>
      <c r="J78" s="9"/>
      <c r="K78" s="8"/>
      <c r="L78" s="9"/>
      <c r="M78" s="8"/>
      <c r="N78" s="9"/>
      <c r="O78" s="10"/>
    </row>
    <row r="79">
      <c r="B79" s="35">
        <v>12.0</v>
      </c>
      <c r="C79" s="3"/>
      <c r="D79" s="12" t="s">
        <v>54</v>
      </c>
      <c r="E79" s="3"/>
      <c r="F79" s="36" t="s">
        <v>55</v>
      </c>
      <c r="G79" s="3"/>
      <c r="H79" s="12" t="s">
        <v>74</v>
      </c>
      <c r="I79" s="3"/>
      <c r="J79" s="12" t="s">
        <v>75</v>
      </c>
      <c r="K79" s="3"/>
      <c r="L79" s="12">
        <v>2.0</v>
      </c>
      <c r="M79" s="3"/>
      <c r="N79" s="12">
        <v>25.0</v>
      </c>
      <c r="O79" s="6"/>
    </row>
    <row r="80">
      <c r="B80" s="13"/>
      <c r="C80" s="14"/>
      <c r="D80" s="15"/>
      <c r="E80" s="14"/>
      <c r="F80" s="15"/>
      <c r="G80" s="14"/>
      <c r="H80" s="15"/>
      <c r="I80" s="14"/>
      <c r="J80" s="15"/>
      <c r="K80" s="14"/>
      <c r="L80" s="15"/>
      <c r="M80" s="14"/>
      <c r="N80" s="15"/>
      <c r="O80" s="16"/>
    </row>
    <row r="81">
      <c r="B81" s="37">
        <v>12.0</v>
      </c>
      <c r="C81" s="22"/>
      <c r="D81" s="23" t="s">
        <v>74</v>
      </c>
      <c r="E81" s="22"/>
      <c r="F81" s="23" t="s">
        <v>75</v>
      </c>
      <c r="G81" s="22"/>
      <c r="H81" s="23" t="s">
        <v>76</v>
      </c>
      <c r="I81" s="22"/>
      <c r="J81" s="23" t="s">
        <v>77</v>
      </c>
      <c r="K81" s="22"/>
      <c r="L81" s="23">
        <v>2.0</v>
      </c>
      <c r="M81" s="22"/>
      <c r="N81" s="23">
        <v>25.0</v>
      </c>
      <c r="O81" s="24"/>
    </row>
    <row r="82">
      <c r="B82" s="13"/>
      <c r="C82" s="14"/>
      <c r="D82" s="15"/>
      <c r="E82" s="14"/>
      <c r="F82" s="15"/>
      <c r="G82" s="14"/>
      <c r="H82" s="15"/>
      <c r="I82" s="14"/>
      <c r="J82" s="15"/>
      <c r="K82" s="14"/>
      <c r="L82" s="15"/>
      <c r="M82" s="14"/>
      <c r="N82" s="15"/>
      <c r="O82" s="16"/>
    </row>
    <row r="83">
      <c r="B83" s="37">
        <v>12.0</v>
      </c>
      <c r="C83" s="22"/>
      <c r="D83" s="23" t="s">
        <v>76</v>
      </c>
      <c r="E83" s="22"/>
      <c r="F83" s="23" t="s">
        <v>77</v>
      </c>
      <c r="G83" s="22"/>
      <c r="H83" s="23" t="s">
        <v>36</v>
      </c>
      <c r="I83" s="22"/>
      <c r="J83" s="23" t="s">
        <v>37</v>
      </c>
      <c r="K83" s="22"/>
      <c r="L83" s="23">
        <v>3.0</v>
      </c>
      <c r="M83" s="22"/>
      <c r="N83" s="23">
        <v>35.0</v>
      </c>
      <c r="O83" s="24"/>
    </row>
    <row r="84">
      <c r="B84" s="13"/>
      <c r="C84" s="14"/>
      <c r="D84" s="15"/>
      <c r="E84" s="14"/>
      <c r="F84" s="15"/>
      <c r="G84" s="14"/>
      <c r="H84" s="15"/>
      <c r="I84" s="14"/>
      <c r="J84" s="15"/>
      <c r="K84" s="14"/>
      <c r="L84" s="15"/>
      <c r="M84" s="14"/>
      <c r="N84" s="15"/>
      <c r="O84" s="16"/>
    </row>
    <row r="85">
      <c r="B85" s="37">
        <v>12.0</v>
      </c>
      <c r="C85" s="22"/>
      <c r="D85" s="23" t="s">
        <v>36</v>
      </c>
      <c r="E85" s="22"/>
      <c r="F85" s="23" t="s">
        <v>37</v>
      </c>
      <c r="G85" s="22"/>
      <c r="H85" s="23" t="s">
        <v>78</v>
      </c>
      <c r="I85" s="22"/>
      <c r="J85" s="23" t="s">
        <v>79</v>
      </c>
      <c r="K85" s="22"/>
      <c r="L85" s="23">
        <v>2.0</v>
      </c>
      <c r="M85" s="22"/>
      <c r="N85" s="23">
        <v>35.0</v>
      </c>
      <c r="O85" s="24"/>
    </row>
    <row r="86">
      <c r="B86" s="13"/>
      <c r="C86" s="14"/>
      <c r="D86" s="15"/>
      <c r="E86" s="14"/>
      <c r="F86" s="15"/>
      <c r="G86" s="14"/>
      <c r="H86" s="15"/>
      <c r="I86" s="14"/>
      <c r="J86" s="15"/>
      <c r="K86" s="14"/>
      <c r="L86" s="15"/>
      <c r="M86" s="14"/>
      <c r="N86" s="15"/>
      <c r="O86" s="16"/>
    </row>
    <row r="87">
      <c r="B87" s="37">
        <v>12.0</v>
      </c>
      <c r="C87" s="22"/>
      <c r="D87" s="23" t="s">
        <v>78</v>
      </c>
      <c r="E87" s="22"/>
      <c r="F87" s="23" t="s">
        <v>79</v>
      </c>
      <c r="G87" s="22"/>
      <c r="H87" s="23" t="s">
        <v>80</v>
      </c>
      <c r="I87" s="22"/>
      <c r="J87" s="23" t="s">
        <v>81</v>
      </c>
      <c r="K87" s="22"/>
      <c r="L87" s="23">
        <v>2.0</v>
      </c>
      <c r="M87" s="22"/>
      <c r="N87" s="23">
        <v>35.0</v>
      </c>
      <c r="O87" s="24"/>
    </row>
    <row r="88">
      <c r="B88" s="7"/>
      <c r="C88" s="8"/>
      <c r="D88" s="9"/>
      <c r="E88" s="8"/>
      <c r="F88" s="9"/>
      <c r="G88" s="8"/>
      <c r="H88" s="9"/>
      <c r="I88" s="8"/>
      <c r="J88" s="9"/>
      <c r="K88" s="8"/>
      <c r="L88" s="9"/>
      <c r="M88" s="8"/>
      <c r="N88" s="9"/>
      <c r="O88" s="10"/>
    </row>
    <row r="99">
      <c r="D99" s="38" t="str">
        <f>G116</f>
        <v/>
      </c>
    </row>
  </sheetData>
  <mergeCells count="294">
    <mergeCell ref="B17:C18"/>
    <mergeCell ref="D17:E18"/>
    <mergeCell ref="F17:G18"/>
    <mergeCell ref="H17:I18"/>
    <mergeCell ref="J17:K18"/>
    <mergeCell ref="L17:M18"/>
    <mergeCell ref="N17:O18"/>
    <mergeCell ref="B19:C20"/>
    <mergeCell ref="D19:E20"/>
    <mergeCell ref="F19:G20"/>
    <mergeCell ref="H19:I20"/>
    <mergeCell ref="J19:K20"/>
    <mergeCell ref="L19:M20"/>
    <mergeCell ref="N19:O20"/>
    <mergeCell ref="B21:C22"/>
    <mergeCell ref="D21:E22"/>
    <mergeCell ref="F21:G22"/>
    <mergeCell ref="H21:I22"/>
    <mergeCell ref="J21:K22"/>
    <mergeCell ref="L21:M22"/>
    <mergeCell ref="N21:O22"/>
    <mergeCell ref="B23:C24"/>
    <mergeCell ref="D23:E24"/>
    <mergeCell ref="F23:G24"/>
    <mergeCell ref="H23:I24"/>
    <mergeCell ref="J23:K24"/>
    <mergeCell ref="L23:M24"/>
    <mergeCell ref="N23:O24"/>
    <mergeCell ref="B25:C26"/>
    <mergeCell ref="D25:E26"/>
    <mergeCell ref="F25:G26"/>
    <mergeCell ref="H25:I26"/>
    <mergeCell ref="J25:K26"/>
    <mergeCell ref="L25:M26"/>
    <mergeCell ref="N25:O26"/>
    <mergeCell ref="B27:C28"/>
    <mergeCell ref="D27:E28"/>
    <mergeCell ref="F27:G28"/>
    <mergeCell ref="H27:I28"/>
    <mergeCell ref="J27:K28"/>
    <mergeCell ref="L27:M28"/>
    <mergeCell ref="N27:O28"/>
    <mergeCell ref="B29:C30"/>
    <mergeCell ref="D29:E30"/>
    <mergeCell ref="F29:G30"/>
    <mergeCell ref="H29:I30"/>
    <mergeCell ref="J29:K30"/>
    <mergeCell ref="L29:M30"/>
    <mergeCell ref="N29:O30"/>
    <mergeCell ref="B31:C32"/>
    <mergeCell ref="D31:E32"/>
    <mergeCell ref="F31:G32"/>
    <mergeCell ref="H31:I32"/>
    <mergeCell ref="J31:K32"/>
    <mergeCell ref="L31:M32"/>
    <mergeCell ref="N31:O32"/>
    <mergeCell ref="B33:C34"/>
    <mergeCell ref="D33:E34"/>
    <mergeCell ref="F33:G34"/>
    <mergeCell ref="H33:I34"/>
    <mergeCell ref="J33:K34"/>
    <mergeCell ref="L33:M34"/>
    <mergeCell ref="N33:O34"/>
    <mergeCell ref="B35:C36"/>
    <mergeCell ref="D35:E36"/>
    <mergeCell ref="F35:G36"/>
    <mergeCell ref="H35:I36"/>
    <mergeCell ref="J35:K36"/>
    <mergeCell ref="L35:M36"/>
    <mergeCell ref="N35:O36"/>
    <mergeCell ref="B37:C38"/>
    <mergeCell ref="D37:E38"/>
    <mergeCell ref="F37:G38"/>
    <mergeCell ref="H37:I38"/>
    <mergeCell ref="J37:K38"/>
    <mergeCell ref="L37:M38"/>
    <mergeCell ref="N37:O38"/>
    <mergeCell ref="B39:C40"/>
    <mergeCell ref="D39:E40"/>
    <mergeCell ref="F39:G40"/>
    <mergeCell ref="H39:I40"/>
    <mergeCell ref="J39:K40"/>
    <mergeCell ref="L39:M40"/>
    <mergeCell ref="N39:O40"/>
    <mergeCell ref="B41:C42"/>
    <mergeCell ref="D41:E42"/>
    <mergeCell ref="F41:G42"/>
    <mergeCell ref="H41:I42"/>
    <mergeCell ref="J41:K42"/>
    <mergeCell ref="L41:M42"/>
    <mergeCell ref="N41:O42"/>
    <mergeCell ref="B43:C44"/>
    <mergeCell ref="D43:E44"/>
    <mergeCell ref="F43:G44"/>
    <mergeCell ref="H43:I44"/>
    <mergeCell ref="J43:K44"/>
    <mergeCell ref="L43:M44"/>
    <mergeCell ref="N43:O44"/>
    <mergeCell ref="B73:C74"/>
    <mergeCell ref="D73:E74"/>
    <mergeCell ref="F73:G74"/>
    <mergeCell ref="H73:I74"/>
    <mergeCell ref="J73:K74"/>
    <mergeCell ref="L73:M74"/>
    <mergeCell ref="N73:O74"/>
    <mergeCell ref="B75:C76"/>
    <mergeCell ref="D75:E76"/>
    <mergeCell ref="F75:G76"/>
    <mergeCell ref="H75:I76"/>
    <mergeCell ref="J75:K76"/>
    <mergeCell ref="L75:M76"/>
    <mergeCell ref="N75:O76"/>
    <mergeCell ref="B77:C78"/>
    <mergeCell ref="D77:E78"/>
    <mergeCell ref="F77:G78"/>
    <mergeCell ref="H77:I78"/>
    <mergeCell ref="J77:K78"/>
    <mergeCell ref="L77:M78"/>
    <mergeCell ref="N77:O78"/>
    <mergeCell ref="B79:C80"/>
    <mergeCell ref="D79:E80"/>
    <mergeCell ref="F79:G80"/>
    <mergeCell ref="H79:I80"/>
    <mergeCell ref="J79:K80"/>
    <mergeCell ref="L79:M80"/>
    <mergeCell ref="N79:O80"/>
    <mergeCell ref="B81:C82"/>
    <mergeCell ref="D81:E82"/>
    <mergeCell ref="F81:G82"/>
    <mergeCell ref="H81:I82"/>
    <mergeCell ref="J81:K82"/>
    <mergeCell ref="L81:M82"/>
    <mergeCell ref="N81:O82"/>
    <mergeCell ref="B83:C84"/>
    <mergeCell ref="D83:E84"/>
    <mergeCell ref="F83:G84"/>
    <mergeCell ref="H83:I84"/>
    <mergeCell ref="J83:K84"/>
    <mergeCell ref="L83:M84"/>
    <mergeCell ref="N83:O84"/>
    <mergeCell ref="B5:C6"/>
    <mergeCell ref="D5:E6"/>
    <mergeCell ref="F5:G6"/>
    <mergeCell ref="H5:I6"/>
    <mergeCell ref="J5:K6"/>
    <mergeCell ref="L5:M6"/>
    <mergeCell ref="N5:O6"/>
    <mergeCell ref="B7:C8"/>
    <mergeCell ref="D7:E8"/>
    <mergeCell ref="F7:G8"/>
    <mergeCell ref="H7:I8"/>
    <mergeCell ref="J7:K8"/>
    <mergeCell ref="L7:M8"/>
    <mergeCell ref="N7:O8"/>
    <mergeCell ref="B9:C10"/>
    <mergeCell ref="D9:E10"/>
    <mergeCell ref="F9:G10"/>
    <mergeCell ref="H9:I10"/>
    <mergeCell ref="J9:K10"/>
    <mergeCell ref="L9:M10"/>
    <mergeCell ref="N9:O10"/>
    <mergeCell ref="B11:C12"/>
    <mergeCell ref="D11:E12"/>
    <mergeCell ref="F11:G12"/>
    <mergeCell ref="H11:I12"/>
    <mergeCell ref="J11:K12"/>
    <mergeCell ref="L11:M12"/>
    <mergeCell ref="N11:O12"/>
    <mergeCell ref="B13:C14"/>
    <mergeCell ref="D13:E14"/>
    <mergeCell ref="F13:G14"/>
    <mergeCell ref="H13:I14"/>
    <mergeCell ref="J13:K14"/>
    <mergeCell ref="L13:M14"/>
    <mergeCell ref="N13:O14"/>
    <mergeCell ref="B15:C16"/>
    <mergeCell ref="D15:E16"/>
    <mergeCell ref="F15:G16"/>
    <mergeCell ref="H15:I16"/>
    <mergeCell ref="J15:K16"/>
    <mergeCell ref="L15:M16"/>
    <mergeCell ref="N15:O16"/>
    <mergeCell ref="B87:C88"/>
    <mergeCell ref="D87:E88"/>
    <mergeCell ref="F87:G88"/>
    <mergeCell ref="H87:I88"/>
    <mergeCell ref="J87:K88"/>
    <mergeCell ref="L87:M88"/>
    <mergeCell ref="N87:O88"/>
    <mergeCell ref="B85:C86"/>
    <mergeCell ref="D85:E86"/>
    <mergeCell ref="F85:G86"/>
    <mergeCell ref="H85:I86"/>
    <mergeCell ref="J85:K86"/>
    <mergeCell ref="L85:M86"/>
    <mergeCell ref="N85:O86"/>
    <mergeCell ref="B45:C46"/>
    <mergeCell ref="D45:E46"/>
    <mergeCell ref="F45:G46"/>
    <mergeCell ref="H45:I46"/>
    <mergeCell ref="J45:K46"/>
    <mergeCell ref="L45:M46"/>
    <mergeCell ref="N45:O46"/>
    <mergeCell ref="B47:C48"/>
    <mergeCell ref="D47:E48"/>
    <mergeCell ref="F47:G48"/>
    <mergeCell ref="H47:I48"/>
    <mergeCell ref="J47:K48"/>
    <mergeCell ref="L47:M48"/>
    <mergeCell ref="N47:O48"/>
    <mergeCell ref="B49:C50"/>
    <mergeCell ref="D49:E50"/>
    <mergeCell ref="F49:G50"/>
    <mergeCell ref="H49:I50"/>
    <mergeCell ref="J49:K50"/>
    <mergeCell ref="L49:M50"/>
    <mergeCell ref="N49:O50"/>
    <mergeCell ref="B51:C52"/>
    <mergeCell ref="D51:E52"/>
    <mergeCell ref="F51:G52"/>
    <mergeCell ref="H51:I52"/>
    <mergeCell ref="J51:K52"/>
    <mergeCell ref="L51:M52"/>
    <mergeCell ref="N51:O52"/>
    <mergeCell ref="B53:C54"/>
    <mergeCell ref="D53:E54"/>
    <mergeCell ref="F53:G54"/>
    <mergeCell ref="H53:I54"/>
    <mergeCell ref="J53:K54"/>
    <mergeCell ref="L53:M54"/>
    <mergeCell ref="N53:O54"/>
    <mergeCell ref="B55:C56"/>
    <mergeCell ref="D55:E56"/>
    <mergeCell ref="F55:G56"/>
    <mergeCell ref="H55:I56"/>
    <mergeCell ref="J55:K56"/>
    <mergeCell ref="L55:M56"/>
    <mergeCell ref="N55:O56"/>
    <mergeCell ref="B57:C58"/>
    <mergeCell ref="D57:E58"/>
    <mergeCell ref="F57:G58"/>
    <mergeCell ref="H57:I58"/>
    <mergeCell ref="J57:K58"/>
    <mergeCell ref="L57:M58"/>
    <mergeCell ref="N57:O58"/>
    <mergeCell ref="B59:C60"/>
    <mergeCell ref="D59:E60"/>
    <mergeCell ref="F59:G60"/>
    <mergeCell ref="H59:I60"/>
    <mergeCell ref="J59:K60"/>
    <mergeCell ref="L59:M60"/>
    <mergeCell ref="N59:O60"/>
    <mergeCell ref="B61:C62"/>
    <mergeCell ref="D61:E62"/>
    <mergeCell ref="F61:G62"/>
    <mergeCell ref="H61:I62"/>
    <mergeCell ref="J61:K62"/>
    <mergeCell ref="L61:M62"/>
    <mergeCell ref="N61:O62"/>
    <mergeCell ref="B63:C64"/>
    <mergeCell ref="D63:E64"/>
    <mergeCell ref="F63:G64"/>
    <mergeCell ref="H63:I64"/>
    <mergeCell ref="J63:K64"/>
    <mergeCell ref="L63:M64"/>
    <mergeCell ref="N63:O64"/>
    <mergeCell ref="B65:C66"/>
    <mergeCell ref="D65:E66"/>
    <mergeCell ref="F65:G66"/>
    <mergeCell ref="H65:I66"/>
    <mergeCell ref="J65:K66"/>
    <mergeCell ref="L65:M66"/>
    <mergeCell ref="N65:O66"/>
    <mergeCell ref="B67:C68"/>
    <mergeCell ref="D67:E68"/>
    <mergeCell ref="F67:G68"/>
    <mergeCell ref="H67:I68"/>
    <mergeCell ref="J67:K68"/>
    <mergeCell ref="L67:M68"/>
    <mergeCell ref="N67:O68"/>
    <mergeCell ref="B69:C70"/>
    <mergeCell ref="D69:E70"/>
    <mergeCell ref="F69:G70"/>
    <mergeCell ref="H69:I70"/>
    <mergeCell ref="J69:K70"/>
    <mergeCell ref="L69:M70"/>
    <mergeCell ref="N69:O70"/>
    <mergeCell ref="B71:C72"/>
    <mergeCell ref="D71:E72"/>
    <mergeCell ref="F71:G72"/>
    <mergeCell ref="H71:I72"/>
    <mergeCell ref="J71:K72"/>
    <mergeCell ref="L71:M72"/>
    <mergeCell ref="N71:O7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75"/>
  </cols>
  <sheetData>
    <row r="5">
      <c r="B5" s="39" t="s">
        <v>82</v>
      </c>
      <c r="C5" s="40"/>
      <c r="D5" s="40"/>
      <c r="E5" s="40"/>
      <c r="F5" s="40"/>
      <c r="G5" s="40"/>
      <c r="H5" s="22"/>
    </row>
    <row r="6">
      <c r="B6" s="15"/>
      <c r="C6" s="41"/>
      <c r="D6" s="41"/>
      <c r="E6" s="41"/>
      <c r="F6" s="41"/>
      <c r="G6" s="41"/>
      <c r="H6" s="14"/>
    </row>
    <row r="7">
      <c r="B7" s="42" t="s">
        <v>83</v>
      </c>
      <c r="C7" s="42" t="s">
        <v>84</v>
      </c>
      <c r="D7" s="42" t="s">
        <v>85</v>
      </c>
      <c r="E7" s="42" t="s">
        <v>86</v>
      </c>
      <c r="F7" s="43" t="s">
        <v>87</v>
      </c>
      <c r="G7" s="22"/>
      <c r="H7" s="42" t="s">
        <v>88</v>
      </c>
    </row>
    <row r="8">
      <c r="B8" s="44"/>
      <c r="C8" s="44"/>
      <c r="D8" s="44"/>
      <c r="E8" s="44"/>
      <c r="F8" s="15"/>
      <c r="G8" s="14"/>
      <c r="H8" s="44"/>
    </row>
    <row r="9">
      <c r="B9" s="45">
        <v>3.0</v>
      </c>
      <c r="C9" s="46">
        <v>9.0</v>
      </c>
      <c r="D9" s="47" t="s">
        <v>44</v>
      </c>
      <c r="E9" s="47">
        <v>3.0</v>
      </c>
      <c r="F9" s="48">
        <f>E9+ 0.5*2</f>
        <v>4</v>
      </c>
      <c r="G9" s="22"/>
      <c r="H9" s="49">
        <f>F9*10</f>
        <v>40</v>
      </c>
    </row>
    <row r="10">
      <c r="B10" s="44"/>
      <c r="C10" s="44"/>
      <c r="D10" s="44"/>
      <c r="E10" s="44"/>
      <c r="F10" s="15"/>
      <c r="G10" s="14"/>
      <c r="H10" s="44"/>
    </row>
    <row r="11">
      <c r="B11" s="50">
        <v>1.0</v>
      </c>
      <c r="C11" s="45">
        <v>3.0</v>
      </c>
      <c r="D11" s="47" t="s">
        <v>24</v>
      </c>
      <c r="E11" s="47">
        <v>3.0</v>
      </c>
      <c r="F11" s="48">
        <f>E11+ 0.5*2</f>
        <v>4</v>
      </c>
      <c r="G11" s="22"/>
      <c r="H11" s="49">
        <f>F11*10</f>
        <v>40</v>
      </c>
    </row>
    <row r="12">
      <c r="B12" s="44"/>
      <c r="C12" s="44"/>
      <c r="D12" s="44"/>
      <c r="E12" s="44"/>
      <c r="F12" s="15"/>
      <c r="G12" s="14"/>
      <c r="H12" s="44"/>
    </row>
    <row r="13">
      <c r="B13" s="50">
        <v>1.0</v>
      </c>
      <c r="C13" s="51">
        <v>7.0</v>
      </c>
      <c r="D13" s="47" t="s">
        <v>9</v>
      </c>
      <c r="E13" s="47">
        <v>4.0</v>
      </c>
      <c r="F13" s="48">
        <f>E13+ 0.5*2</f>
        <v>5</v>
      </c>
      <c r="G13" s="22"/>
      <c r="H13" s="49">
        <f>F13*10</f>
        <v>50</v>
      </c>
    </row>
    <row r="14">
      <c r="B14" s="44"/>
      <c r="C14" s="44"/>
      <c r="D14" s="44"/>
      <c r="E14" s="44"/>
      <c r="F14" s="15"/>
      <c r="G14" s="14"/>
      <c r="H14" s="44"/>
    </row>
    <row r="15">
      <c r="B15" s="50">
        <v>1.0</v>
      </c>
      <c r="C15" s="46">
        <v>9.0</v>
      </c>
      <c r="D15" s="47" t="s">
        <v>13</v>
      </c>
      <c r="E15" s="47">
        <v>3.0</v>
      </c>
      <c r="F15" s="48">
        <f>E15+ 0.5*2</f>
        <v>4</v>
      </c>
      <c r="G15" s="22"/>
      <c r="H15" s="49">
        <f>F15*10</f>
        <v>40</v>
      </c>
    </row>
    <row r="16">
      <c r="B16" s="44"/>
      <c r="C16" s="44"/>
      <c r="D16" s="44"/>
      <c r="E16" s="44"/>
      <c r="F16" s="15"/>
      <c r="G16" s="14"/>
      <c r="H16" s="44"/>
    </row>
    <row r="17">
      <c r="B17" s="51">
        <v>7.0</v>
      </c>
      <c r="C17" s="46">
        <v>9.0</v>
      </c>
      <c r="D17" s="47" t="s">
        <v>60</v>
      </c>
      <c r="E17" s="47">
        <v>5.0</v>
      </c>
      <c r="F17" s="48">
        <f>E17+ 0.5*2</f>
        <v>6</v>
      </c>
      <c r="G17" s="22"/>
      <c r="H17" s="49">
        <f>F17*10</f>
        <v>60</v>
      </c>
    </row>
    <row r="18">
      <c r="B18" s="44"/>
      <c r="C18" s="44"/>
      <c r="D18" s="44"/>
      <c r="E18" s="44"/>
      <c r="F18" s="15"/>
      <c r="G18" s="14"/>
      <c r="H18" s="44"/>
    </row>
    <row r="19">
      <c r="B19" s="51">
        <v>7.0</v>
      </c>
      <c r="C19" s="52">
        <v>12.0</v>
      </c>
      <c r="D19" s="47" t="s">
        <v>54</v>
      </c>
      <c r="E19" s="47">
        <v>2.0</v>
      </c>
      <c r="F19" s="48">
        <f>E19+ 0.5*2</f>
        <v>3</v>
      </c>
      <c r="G19" s="22"/>
      <c r="H19" s="49">
        <f>F19*10</f>
        <v>30</v>
      </c>
    </row>
    <row r="20">
      <c r="B20" s="44"/>
      <c r="C20" s="44"/>
      <c r="D20" s="44"/>
      <c r="E20" s="44"/>
      <c r="F20" s="15"/>
      <c r="G20" s="14"/>
      <c r="H20" s="44"/>
    </row>
    <row r="21">
      <c r="B21" s="45">
        <v>3.0</v>
      </c>
      <c r="C21" s="52">
        <v>12.0</v>
      </c>
      <c r="D21" s="47" t="s">
        <v>36</v>
      </c>
      <c r="E21" s="47">
        <v>2.0</v>
      </c>
      <c r="F21" s="48">
        <f>E21+ 0.5*2</f>
        <v>3</v>
      </c>
      <c r="G21" s="22"/>
      <c r="H21" s="49">
        <f>F21*10</f>
        <v>30</v>
      </c>
    </row>
    <row r="22">
      <c r="B22" s="44"/>
      <c r="C22" s="44"/>
      <c r="D22" s="44"/>
      <c r="E22" s="44"/>
      <c r="F22" s="15"/>
      <c r="G22" s="14"/>
      <c r="H22" s="44"/>
    </row>
  </sheetData>
  <mergeCells count="49">
    <mergeCell ref="E21:E22"/>
    <mergeCell ref="F21:G22"/>
    <mergeCell ref="B19:B20"/>
    <mergeCell ref="C19:C20"/>
    <mergeCell ref="D19:D20"/>
    <mergeCell ref="E19:E20"/>
    <mergeCell ref="F19:G20"/>
    <mergeCell ref="H19:H20"/>
    <mergeCell ref="B21:B22"/>
    <mergeCell ref="H21:H22"/>
    <mergeCell ref="B5:H6"/>
    <mergeCell ref="B7:B8"/>
    <mergeCell ref="C7:C8"/>
    <mergeCell ref="D7:D8"/>
    <mergeCell ref="E7:E8"/>
    <mergeCell ref="F7:G8"/>
    <mergeCell ref="H7:H8"/>
    <mergeCell ref="E11:E12"/>
    <mergeCell ref="F11:G12"/>
    <mergeCell ref="F13:G14"/>
    <mergeCell ref="H13:H14"/>
    <mergeCell ref="B9:B10"/>
    <mergeCell ref="C9:C10"/>
    <mergeCell ref="D9:D10"/>
    <mergeCell ref="E9:E10"/>
    <mergeCell ref="F9:G10"/>
    <mergeCell ref="H9:H10"/>
    <mergeCell ref="B11:B12"/>
    <mergeCell ref="H11:H12"/>
    <mergeCell ref="C15:C16"/>
    <mergeCell ref="D15:D16"/>
    <mergeCell ref="F15:G16"/>
    <mergeCell ref="H15:H16"/>
    <mergeCell ref="C11:C12"/>
    <mergeCell ref="D11:D12"/>
    <mergeCell ref="B13:B14"/>
    <mergeCell ref="C13:C14"/>
    <mergeCell ref="D13:D14"/>
    <mergeCell ref="E13:E14"/>
    <mergeCell ref="E15:E16"/>
    <mergeCell ref="B15:B16"/>
    <mergeCell ref="B17:B18"/>
    <mergeCell ref="C17:C18"/>
    <mergeCell ref="D17:D18"/>
    <mergeCell ref="E17:E18"/>
    <mergeCell ref="F17:G18"/>
    <mergeCell ref="H17:H18"/>
    <mergeCell ref="C21:C22"/>
    <mergeCell ref="D21:D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53" t="s">
        <v>89</v>
      </c>
      <c r="C4" s="54" t="s">
        <v>90</v>
      </c>
      <c r="D4" s="55"/>
      <c r="E4" s="55"/>
      <c r="F4" s="55"/>
      <c r="G4" s="55"/>
      <c r="H4" s="55"/>
      <c r="I4" s="55"/>
      <c r="J4" s="55"/>
      <c r="K4" s="55"/>
      <c r="L4" s="6"/>
      <c r="N4" s="56" t="s">
        <v>91</v>
      </c>
      <c r="O4" s="55"/>
      <c r="P4" s="55"/>
      <c r="Q4" s="55"/>
      <c r="R4" s="55"/>
      <c r="S4" s="55"/>
      <c r="T4" s="55"/>
      <c r="U4" s="55"/>
      <c r="V4" s="55"/>
      <c r="W4" s="6"/>
    </row>
    <row r="5">
      <c r="C5" s="13"/>
      <c r="D5" s="41"/>
      <c r="E5" s="41"/>
      <c r="F5" s="41"/>
      <c r="G5" s="41"/>
      <c r="H5" s="41"/>
      <c r="I5" s="41"/>
      <c r="J5" s="41"/>
      <c r="K5" s="41"/>
      <c r="L5" s="16"/>
      <c r="N5" s="13"/>
      <c r="O5" s="41"/>
      <c r="P5" s="41"/>
      <c r="Q5" s="41"/>
      <c r="R5" s="41"/>
      <c r="S5" s="41"/>
      <c r="T5" s="41"/>
      <c r="U5" s="41"/>
      <c r="V5" s="41"/>
      <c r="W5" s="16"/>
    </row>
    <row r="6">
      <c r="C6" s="57" t="s">
        <v>0</v>
      </c>
      <c r="D6" s="22"/>
      <c r="E6" s="39" t="s">
        <v>92</v>
      </c>
      <c r="F6" s="22"/>
      <c r="G6" s="39" t="s">
        <v>93</v>
      </c>
      <c r="H6" s="22"/>
      <c r="I6" s="39" t="s">
        <v>94</v>
      </c>
      <c r="J6" s="22"/>
      <c r="K6" s="39" t="s">
        <v>95</v>
      </c>
      <c r="L6" s="24"/>
      <c r="N6" s="58" t="s">
        <v>0</v>
      </c>
      <c r="O6" s="22"/>
      <c r="P6" s="59" t="s">
        <v>92</v>
      </c>
      <c r="Q6" s="22"/>
      <c r="R6" s="59" t="s">
        <v>93</v>
      </c>
      <c r="S6" s="22"/>
      <c r="T6" s="59" t="s">
        <v>94</v>
      </c>
      <c r="U6" s="22"/>
      <c r="V6" s="59" t="s">
        <v>95</v>
      </c>
      <c r="W6" s="24"/>
    </row>
    <row r="7">
      <c r="C7" s="7"/>
      <c r="D7" s="8"/>
      <c r="E7" s="9"/>
      <c r="F7" s="8"/>
      <c r="G7" s="9"/>
      <c r="H7" s="8"/>
      <c r="I7" s="9"/>
      <c r="J7" s="8"/>
      <c r="K7" s="9"/>
      <c r="L7" s="10"/>
      <c r="N7" s="7"/>
      <c r="O7" s="8"/>
      <c r="P7" s="9"/>
      <c r="Q7" s="8"/>
      <c r="R7" s="9"/>
      <c r="S7" s="8"/>
      <c r="T7" s="9"/>
      <c r="U7" s="8"/>
      <c r="V7" s="9"/>
      <c r="W7" s="10"/>
    </row>
    <row r="8">
      <c r="C8" s="11">
        <v>1.0</v>
      </c>
      <c r="D8" s="3"/>
      <c r="E8" s="12" t="s">
        <v>96</v>
      </c>
      <c r="F8" s="3"/>
      <c r="G8" s="60" t="str">
        <f>IF(E8="HORA BAJA", "APERTURA / CIERRE", IF(E8="HORA VALLE", "09:00–17:59; 21:00–22:59",IF(E8="HORA PICO", "06:00–09:00; 18:00–21:00", "Introducir tramo horario"))
)</f>
        <v>APERTURA / CIERRE</v>
      </c>
      <c r="H8" s="3"/>
      <c r="I8" s="12">
        <v>7.0</v>
      </c>
      <c r="J8" s="3"/>
      <c r="K8" s="60">
        <f>(I8*5)</f>
        <v>35</v>
      </c>
      <c r="L8" s="6"/>
      <c r="N8" s="11">
        <v>1.0</v>
      </c>
      <c r="O8" s="3"/>
      <c r="P8" s="12" t="s">
        <v>96</v>
      </c>
      <c r="Q8" s="3"/>
      <c r="R8" s="60" t="str">
        <f>IF(P8="HORA BAJA", "APERTURA / CIERRE", IF(P8="HORA VALLE", "09:00–17:59; 21:00–22:59",IF(P8="HORA PICO", "06:00–09:00; 18:00–21:00", "Introducir tramo horario"))
)</f>
        <v>APERTURA / CIERRE</v>
      </c>
      <c r="S8" s="3"/>
      <c r="T8" s="12">
        <v>10.0</v>
      </c>
      <c r="U8" s="3"/>
      <c r="V8" s="48">
        <f>T8*5</f>
        <v>50</v>
      </c>
      <c r="W8" s="24"/>
    </row>
    <row r="9">
      <c r="C9" s="13"/>
      <c r="D9" s="14"/>
      <c r="E9" s="15"/>
      <c r="F9" s="14"/>
      <c r="G9" s="15"/>
      <c r="H9" s="14"/>
      <c r="I9" s="15"/>
      <c r="J9" s="14"/>
      <c r="K9" s="15"/>
      <c r="L9" s="16"/>
      <c r="N9" s="13"/>
      <c r="O9" s="14"/>
      <c r="P9" s="15"/>
      <c r="Q9" s="14"/>
      <c r="R9" s="15"/>
      <c r="S9" s="14"/>
      <c r="T9" s="15"/>
      <c r="U9" s="14"/>
      <c r="V9" s="15"/>
      <c r="W9" s="16"/>
    </row>
    <row r="10">
      <c r="C10" s="21">
        <v>1.0</v>
      </c>
      <c r="D10" s="22"/>
      <c r="E10" s="23" t="s">
        <v>97</v>
      </c>
      <c r="F10" s="22"/>
      <c r="G10" s="48" t="str">
        <f>IF(E10="HORA BAJA", "APERTURA / CIERRE", IF(E10="HORA VALLE", "09:00–17:59; 21:00–22:59",IF(E10="HORA PICO", "06:00–09:00; 18:00–21:00", "Introducir tramo horario"))
)</f>
        <v>09:00–17:59; 21:00–22:59</v>
      </c>
      <c r="H10" s="22"/>
      <c r="I10" s="23">
        <v>4.0</v>
      </c>
      <c r="J10" s="22"/>
      <c r="K10" s="23">
        <f>(I10*5)</f>
        <v>20</v>
      </c>
      <c r="L10" s="24"/>
      <c r="N10" s="21">
        <v>1.0</v>
      </c>
      <c r="O10" s="22"/>
      <c r="P10" s="23" t="s">
        <v>97</v>
      </c>
      <c r="Q10" s="22"/>
      <c r="R10" s="48" t="str">
        <f>IF(P10="HORA BAJA", "APERTURA / CIERRE", IF(P10="HORA VALLE", "11:00–17:59",IF(P10="HORA PICO", "06:00–09:00; 18:00–21:00", "Introducir tramo horario"))
)</f>
        <v>11:00–17:59</v>
      </c>
      <c r="S10" s="22"/>
      <c r="T10" s="23">
        <v>8.0</v>
      </c>
      <c r="U10" s="22"/>
      <c r="V10" s="48">
        <f>T10*5</f>
        <v>40</v>
      </c>
      <c r="W10" s="24"/>
    </row>
    <row r="11">
      <c r="C11" s="13"/>
      <c r="D11" s="14"/>
      <c r="E11" s="15"/>
      <c r="F11" s="14"/>
      <c r="G11" s="15"/>
      <c r="H11" s="14"/>
      <c r="I11" s="15"/>
      <c r="J11" s="14"/>
      <c r="K11" s="15"/>
      <c r="L11" s="16"/>
      <c r="N11" s="13"/>
      <c r="O11" s="14"/>
      <c r="P11" s="15"/>
      <c r="Q11" s="14"/>
      <c r="R11" s="15"/>
      <c r="S11" s="14"/>
      <c r="T11" s="15"/>
      <c r="U11" s="14"/>
      <c r="V11" s="15"/>
      <c r="W11" s="16"/>
    </row>
    <row r="12">
      <c r="C12" s="21">
        <v>1.0</v>
      </c>
      <c r="D12" s="22"/>
      <c r="E12" s="23" t="s">
        <v>98</v>
      </c>
      <c r="F12" s="22"/>
      <c r="G12" s="48" t="str">
        <f>IF(E12="HORA BAJA", "APERTURA / CIERRE", IF(E12="HORA VALLE", "09:00–17:59; 21:00–22:59",IF(E12="HORA PICO", "06:00–09:00; 18:00–21:00", "Introducir tramo horario"))
)</f>
        <v>06:00–09:00; 18:00–21:00</v>
      </c>
      <c r="H12" s="22"/>
      <c r="I12" s="23">
        <v>2.0</v>
      </c>
      <c r="J12" s="22"/>
      <c r="K12" s="23">
        <f>(I12*5)</f>
        <v>10</v>
      </c>
      <c r="L12" s="24"/>
      <c r="N12" s="21">
        <v>1.0</v>
      </c>
      <c r="O12" s="22"/>
      <c r="P12" s="23" t="s">
        <v>98</v>
      </c>
      <c r="Q12" s="22"/>
      <c r="R12" s="23" t="s">
        <v>99</v>
      </c>
      <c r="S12" s="22"/>
      <c r="T12" s="23">
        <v>6.0</v>
      </c>
      <c r="U12" s="22"/>
      <c r="V12" s="48">
        <f>T12*5</f>
        <v>30</v>
      </c>
      <c r="W12" s="24"/>
    </row>
    <row r="13">
      <c r="C13" s="7"/>
      <c r="D13" s="8"/>
      <c r="E13" s="9"/>
      <c r="F13" s="8"/>
      <c r="G13" s="9"/>
      <c r="H13" s="8"/>
      <c r="I13" s="9"/>
      <c r="J13" s="8"/>
      <c r="K13" s="15"/>
      <c r="L13" s="16"/>
      <c r="N13" s="7"/>
      <c r="O13" s="8"/>
      <c r="P13" s="9"/>
      <c r="Q13" s="8"/>
      <c r="R13" s="9"/>
      <c r="S13" s="8"/>
      <c r="T13" s="9"/>
      <c r="U13" s="8"/>
      <c r="V13" s="15"/>
      <c r="W13" s="16"/>
    </row>
    <row r="14">
      <c r="C14" s="25">
        <v>3.0</v>
      </c>
      <c r="D14" s="3"/>
      <c r="E14" s="12" t="s">
        <v>96</v>
      </c>
      <c r="F14" s="3"/>
      <c r="G14" s="60" t="str">
        <f>IF(E14="HORA BAJA", "APERTURA / CIERRE", IF(E14="HORA VALLE", "09:00–17:59; 21:00–22:59",IF(E14="HORA PICO", "06:00–09:00; 18:00–21:00", "Introducir tramo horario"))
)</f>
        <v>APERTURA / CIERRE</v>
      </c>
      <c r="H14" s="3"/>
      <c r="I14" s="12">
        <v>7.0</v>
      </c>
      <c r="J14" s="3"/>
      <c r="K14" s="23">
        <f>(I14*5)</f>
        <v>35</v>
      </c>
      <c r="L14" s="24"/>
      <c r="N14" s="25">
        <v>3.0</v>
      </c>
      <c r="O14" s="3"/>
      <c r="P14" s="12" t="s">
        <v>96</v>
      </c>
      <c r="Q14" s="3"/>
      <c r="R14" s="60" t="str">
        <f>IF(P14="HORA BAJA", "APERTURA / CIERRE", IF(P14="HORA VALLE", "09:00–17:59; 21:00–22:59",IF(P14="HORA PICO", "06:00–09:00; 18:00–21:00", "Introducir tramo horario"))
)</f>
        <v>APERTURA / CIERRE</v>
      </c>
      <c r="S14" s="3"/>
      <c r="T14" s="12">
        <v>10.0</v>
      </c>
      <c r="U14" s="3"/>
      <c r="V14" s="48">
        <f>T14*5</f>
        <v>50</v>
      </c>
      <c r="W14" s="24"/>
    </row>
    <row r="15">
      <c r="C15" s="13"/>
      <c r="D15" s="14"/>
      <c r="E15" s="15"/>
      <c r="F15" s="14"/>
      <c r="G15" s="15"/>
      <c r="H15" s="14"/>
      <c r="I15" s="15"/>
      <c r="J15" s="14"/>
      <c r="K15" s="15"/>
      <c r="L15" s="16"/>
      <c r="N15" s="13"/>
      <c r="O15" s="14"/>
      <c r="P15" s="15"/>
      <c r="Q15" s="14"/>
      <c r="R15" s="15"/>
      <c r="S15" s="14"/>
      <c r="T15" s="15"/>
      <c r="U15" s="14"/>
      <c r="V15" s="15"/>
      <c r="W15" s="16"/>
    </row>
    <row r="16">
      <c r="C16" s="26">
        <v>3.0</v>
      </c>
      <c r="D16" s="22"/>
      <c r="E16" s="23" t="s">
        <v>97</v>
      </c>
      <c r="F16" s="22"/>
      <c r="G16" s="48" t="str">
        <f>IF(E16="HORA BAJA", "APERTURA / CIERRE", IF(E16="HORA VALLE", "09:00–17:59; 21:00–22:59",IF(E16="HORA PICO", "06:00–09:00; 18:00–21:00", "Introducir tramo horario"))
)</f>
        <v>09:00–17:59; 21:00–22:59</v>
      </c>
      <c r="H16" s="22"/>
      <c r="I16" s="23">
        <v>4.0</v>
      </c>
      <c r="J16" s="22"/>
      <c r="K16" s="23">
        <f>(I16*5)</f>
        <v>20</v>
      </c>
      <c r="L16" s="24"/>
      <c r="N16" s="26">
        <v>3.0</v>
      </c>
      <c r="O16" s="22"/>
      <c r="P16" s="23" t="s">
        <v>97</v>
      </c>
      <c r="Q16" s="22"/>
      <c r="R16" s="61" t="s">
        <v>100</v>
      </c>
      <c r="S16" s="18"/>
      <c r="T16" s="23">
        <v>8.0</v>
      </c>
      <c r="U16" s="22"/>
      <c r="V16" s="48">
        <f>T16*5</f>
        <v>40</v>
      </c>
      <c r="W16" s="24"/>
    </row>
    <row r="17">
      <c r="C17" s="13"/>
      <c r="D17" s="14"/>
      <c r="E17" s="15"/>
      <c r="F17" s="14"/>
      <c r="G17" s="15"/>
      <c r="H17" s="14"/>
      <c r="I17" s="15"/>
      <c r="J17" s="14"/>
      <c r="K17" s="15"/>
      <c r="L17" s="16"/>
      <c r="N17" s="13"/>
      <c r="O17" s="14"/>
      <c r="P17" s="15"/>
      <c r="Q17" s="14"/>
      <c r="R17" s="41"/>
      <c r="S17" s="14"/>
      <c r="T17" s="15"/>
      <c r="U17" s="14"/>
      <c r="V17" s="15"/>
      <c r="W17" s="16"/>
    </row>
    <row r="18">
      <c r="C18" s="26">
        <v>3.0</v>
      </c>
      <c r="D18" s="22"/>
      <c r="E18" s="23" t="s">
        <v>98</v>
      </c>
      <c r="F18" s="22"/>
      <c r="G18" s="48" t="str">
        <f>IF(E18="HORA BAJA", "APERTURA / CIERRE", IF(E18="HORA VALLE", "09:00–17:59; 21:00–22:59",IF(E18="HORA PICO", "06:00–09:00; 18:00–21:00", "Introducir tramo horario"))
)</f>
        <v>06:00–09:00; 18:00–21:00</v>
      </c>
      <c r="H18" s="22"/>
      <c r="I18" s="23">
        <v>2.0</v>
      </c>
      <c r="J18" s="22"/>
      <c r="K18" s="23">
        <f>(I18*5)</f>
        <v>10</v>
      </c>
      <c r="L18" s="24"/>
      <c r="N18" s="26">
        <v>3.0</v>
      </c>
      <c r="O18" s="22"/>
      <c r="P18" s="23" t="s">
        <v>98</v>
      </c>
      <c r="Q18" s="22"/>
      <c r="R18" s="23" t="s">
        <v>99</v>
      </c>
      <c r="S18" s="22"/>
      <c r="T18" s="23">
        <v>6.0</v>
      </c>
      <c r="U18" s="22"/>
      <c r="V18" s="48">
        <f>T18*5</f>
        <v>30</v>
      </c>
      <c r="W18" s="24"/>
    </row>
    <row r="19">
      <c r="C19" s="7"/>
      <c r="D19" s="8"/>
      <c r="E19" s="9"/>
      <c r="F19" s="8"/>
      <c r="G19" s="9"/>
      <c r="H19" s="8"/>
      <c r="I19" s="9"/>
      <c r="J19" s="8"/>
      <c r="K19" s="15"/>
      <c r="L19" s="16"/>
      <c r="N19" s="7"/>
      <c r="O19" s="8"/>
      <c r="P19" s="9"/>
      <c r="Q19" s="8"/>
      <c r="R19" s="9"/>
      <c r="S19" s="8"/>
      <c r="T19" s="9"/>
      <c r="U19" s="8"/>
      <c r="V19" s="15"/>
      <c r="W19" s="16"/>
    </row>
    <row r="20">
      <c r="C20" s="28">
        <v>7.0</v>
      </c>
      <c r="D20" s="3"/>
      <c r="E20" s="12" t="s">
        <v>96</v>
      </c>
      <c r="F20" s="3"/>
      <c r="G20" s="60" t="str">
        <f>IF(E20="HORA BAJA", "APERTURA / CIERRE", IF(E20="HORA VALLE", "09:00–17:59; 21:00–22:59",IF(E20="HORA PICO", "06:00–09:00; 18:00–21:00", "Introducir tramo horario"))
)</f>
        <v>APERTURA / CIERRE</v>
      </c>
      <c r="H20" s="3"/>
      <c r="I20" s="12">
        <v>8.0</v>
      </c>
      <c r="J20" s="3"/>
      <c r="K20" s="23">
        <f>(I20*5)</f>
        <v>40</v>
      </c>
      <c r="L20" s="24"/>
      <c r="N20" s="28">
        <v>7.0</v>
      </c>
      <c r="O20" s="3"/>
      <c r="P20" s="12" t="s">
        <v>96</v>
      </c>
      <c r="Q20" s="3"/>
      <c r="R20" s="60" t="str">
        <f>IF(P20="HORA BAJA", "APERTURA / CIERRE", IF(P20="HORA VALLE", "09:00–17:59; 21:00–22:59",IF(P20="HORA PICO", "06:00–09:00; 18:00–21:00", "Introducir tramo horario"))
)</f>
        <v>APERTURA / CIERRE</v>
      </c>
      <c r="S20" s="3"/>
      <c r="T20" s="12">
        <v>11.0</v>
      </c>
      <c r="U20" s="3"/>
      <c r="V20" s="48">
        <f>T20*5</f>
        <v>55</v>
      </c>
      <c r="W20" s="24"/>
    </row>
    <row r="21">
      <c r="C21" s="13"/>
      <c r="D21" s="14"/>
      <c r="E21" s="15"/>
      <c r="F21" s="14"/>
      <c r="G21" s="15"/>
      <c r="H21" s="14"/>
      <c r="I21" s="15"/>
      <c r="J21" s="14"/>
      <c r="K21" s="15"/>
      <c r="L21" s="16"/>
      <c r="N21" s="13"/>
      <c r="O21" s="14"/>
      <c r="P21" s="15"/>
      <c r="Q21" s="14"/>
      <c r="R21" s="15"/>
      <c r="S21" s="14"/>
      <c r="T21" s="15"/>
      <c r="U21" s="14"/>
      <c r="V21" s="15"/>
      <c r="W21" s="16"/>
    </row>
    <row r="22">
      <c r="C22" s="29">
        <v>7.0</v>
      </c>
      <c r="D22" s="22"/>
      <c r="E22" s="23" t="s">
        <v>97</v>
      </c>
      <c r="F22" s="22"/>
      <c r="G22" s="48" t="str">
        <f>IF(E22="HORA BAJA", "APERTURA / CIERRE", IF(E22="HORA VALLE", "09:00–17:59; 21:00–22:59",IF(E22="HORA PICO", "06:00–09:00; 18:00–21:00", "Introducir tramo horario"))
)</f>
        <v>09:00–17:59; 21:00–22:59</v>
      </c>
      <c r="H22" s="22"/>
      <c r="I22" s="23">
        <v>5.0</v>
      </c>
      <c r="J22" s="22"/>
      <c r="K22" s="23">
        <f>(I22*5)</f>
        <v>25</v>
      </c>
      <c r="L22" s="24"/>
      <c r="N22" s="29">
        <v>7.0</v>
      </c>
      <c r="O22" s="22"/>
      <c r="P22" s="23" t="s">
        <v>97</v>
      </c>
      <c r="Q22" s="22"/>
      <c r="R22" s="23" t="s">
        <v>100</v>
      </c>
      <c r="S22" s="22"/>
      <c r="T22" s="23">
        <v>9.0</v>
      </c>
      <c r="U22" s="22"/>
      <c r="V22" s="48">
        <f>T22*5</f>
        <v>45</v>
      </c>
      <c r="W22" s="24"/>
    </row>
    <row r="23">
      <c r="C23" s="13"/>
      <c r="D23" s="14"/>
      <c r="E23" s="15"/>
      <c r="F23" s="14"/>
      <c r="G23" s="15"/>
      <c r="H23" s="14"/>
      <c r="I23" s="15"/>
      <c r="J23" s="14"/>
      <c r="K23" s="15"/>
      <c r="L23" s="16"/>
      <c r="N23" s="13"/>
      <c r="O23" s="14"/>
      <c r="P23" s="15"/>
      <c r="Q23" s="14"/>
      <c r="R23" s="15"/>
      <c r="S23" s="14"/>
      <c r="T23" s="15"/>
      <c r="U23" s="14"/>
      <c r="V23" s="15"/>
      <c r="W23" s="16"/>
    </row>
    <row r="24">
      <c r="C24" s="29">
        <v>7.0</v>
      </c>
      <c r="D24" s="22"/>
      <c r="E24" s="23" t="s">
        <v>98</v>
      </c>
      <c r="F24" s="22"/>
      <c r="G24" s="48" t="str">
        <f>IF(E24="HORA BAJA", "APERTURA / CIERRE", IF(E24="HORA VALLE", "09:00–17:59; 21:00–22:59",IF(E24="HORA PICO", "06:00–09:00; 18:00–21:00", "Introducir tramo horario"))
)</f>
        <v>06:00–09:00; 18:00–21:00</v>
      </c>
      <c r="H24" s="22"/>
      <c r="I24" s="23">
        <v>3.0</v>
      </c>
      <c r="J24" s="22"/>
      <c r="K24" s="23">
        <f>(I24*5)</f>
        <v>15</v>
      </c>
      <c r="L24" s="24"/>
      <c r="N24" s="29">
        <v>7.0</v>
      </c>
      <c r="O24" s="22"/>
      <c r="P24" s="23" t="s">
        <v>98</v>
      </c>
      <c r="Q24" s="22"/>
      <c r="R24" s="23" t="s">
        <v>99</v>
      </c>
      <c r="S24" s="22"/>
      <c r="T24" s="23">
        <v>7.0</v>
      </c>
      <c r="U24" s="22"/>
      <c r="V24" s="48">
        <f>T24*5</f>
        <v>35</v>
      </c>
      <c r="W24" s="24"/>
    </row>
    <row r="25">
      <c r="C25" s="7"/>
      <c r="D25" s="8"/>
      <c r="E25" s="9"/>
      <c r="F25" s="8"/>
      <c r="G25" s="9"/>
      <c r="H25" s="8"/>
      <c r="I25" s="9"/>
      <c r="J25" s="8"/>
      <c r="K25" s="15"/>
      <c r="L25" s="16"/>
      <c r="N25" s="7"/>
      <c r="O25" s="8"/>
      <c r="P25" s="9"/>
      <c r="Q25" s="8"/>
      <c r="R25" s="9"/>
      <c r="S25" s="8"/>
      <c r="T25" s="9"/>
      <c r="U25" s="8"/>
      <c r="V25" s="15"/>
      <c r="W25" s="16"/>
    </row>
    <row r="26">
      <c r="C26" s="32">
        <v>9.0</v>
      </c>
      <c r="D26" s="3"/>
      <c r="E26" s="12" t="s">
        <v>96</v>
      </c>
      <c r="F26" s="3"/>
      <c r="G26" s="60" t="str">
        <f>IF(E26="HORA BAJA", "APERTURA / CIERRE", IF(E26="HORA VALLE", "09:00–17:59; 21:00–22:59",IF(E26="HORA PICO", "06:00–09:00; 18:00–21:00", "Introducir tramo horario"))
)</f>
        <v>APERTURA / CIERRE</v>
      </c>
      <c r="H26" s="3"/>
      <c r="I26" s="12">
        <v>7.0</v>
      </c>
      <c r="J26" s="3"/>
      <c r="K26" s="23">
        <f>(I26*5)</f>
        <v>35</v>
      </c>
      <c r="L26" s="24"/>
      <c r="N26" s="32">
        <v>9.0</v>
      </c>
      <c r="O26" s="3"/>
      <c r="P26" s="12" t="s">
        <v>96</v>
      </c>
      <c r="Q26" s="3"/>
      <c r="R26" s="60" t="str">
        <f>IF(P26="HORA BAJA", "APERTURA / CIERRE", IF(P26="HORA VALLE", "09:00–17:59; 21:00–22:59",IF(P26="HORA PICO", "06:00–09:00; 18:00–21:00", "Introducir tramo horario"))
)</f>
        <v>APERTURA / CIERRE</v>
      </c>
      <c r="S26" s="3"/>
      <c r="T26" s="12">
        <v>10.0</v>
      </c>
      <c r="U26" s="3"/>
      <c r="V26" s="48">
        <f>T26*5</f>
        <v>50</v>
      </c>
      <c r="W26" s="24"/>
    </row>
    <row r="27">
      <c r="C27" s="13"/>
      <c r="D27" s="14"/>
      <c r="E27" s="15"/>
      <c r="F27" s="14"/>
      <c r="G27" s="15"/>
      <c r="H27" s="14"/>
      <c r="I27" s="15"/>
      <c r="J27" s="14"/>
      <c r="K27" s="15"/>
      <c r="L27" s="16"/>
      <c r="N27" s="13"/>
      <c r="O27" s="14"/>
      <c r="P27" s="15"/>
      <c r="Q27" s="14"/>
      <c r="R27" s="15"/>
      <c r="S27" s="14"/>
      <c r="T27" s="15"/>
      <c r="U27" s="14"/>
      <c r="V27" s="15"/>
      <c r="W27" s="16"/>
    </row>
    <row r="28">
      <c r="C28" s="34">
        <v>9.0</v>
      </c>
      <c r="D28" s="22"/>
      <c r="E28" s="23" t="s">
        <v>97</v>
      </c>
      <c r="F28" s="22"/>
      <c r="G28" s="48" t="str">
        <f>IF(E28="HORA BAJA", "APERTURA / CIERRE", IF(E28="HORA VALLE", "09:00–17:59; 21:00–22:59",IF(E28="HORA PICO", "06:00–09:00; 18:00–21:00", "Introducir tramo horario"))
)</f>
        <v>09:00–17:59; 21:00–22:59</v>
      </c>
      <c r="H28" s="22"/>
      <c r="I28" s="23">
        <v>4.0</v>
      </c>
      <c r="J28" s="22"/>
      <c r="K28" s="23">
        <f>(I28*5)</f>
        <v>20</v>
      </c>
      <c r="L28" s="24"/>
      <c r="N28" s="34">
        <v>9.0</v>
      </c>
      <c r="O28" s="22"/>
      <c r="P28" s="23" t="s">
        <v>97</v>
      </c>
      <c r="Q28" s="22"/>
      <c r="R28" s="23" t="s">
        <v>100</v>
      </c>
      <c r="S28" s="22"/>
      <c r="T28" s="23">
        <v>8.0</v>
      </c>
      <c r="U28" s="22"/>
      <c r="V28" s="48">
        <f>T28*5</f>
        <v>40</v>
      </c>
      <c r="W28" s="24"/>
    </row>
    <row r="29">
      <c r="C29" s="13"/>
      <c r="D29" s="14"/>
      <c r="E29" s="15"/>
      <c r="F29" s="14"/>
      <c r="G29" s="15"/>
      <c r="H29" s="14"/>
      <c r="I29" s="15"/>
      <c r="J29" s="14"/>
      <c r="K29" s="15"/>
      <c r="L29" s="16"/>
      <c r="N29" s="13"/>
      <c r="O29" s="14"/>
      <c r="P29" s="15"/>
      <c r="Q29" s="14"/>
      <c r="R29" s="15"/>
      <c r="S29" s="14"/>
      <c r="T29" s="15"/>
      <c r="U29" s="14"/>
      <c r="V29" s="15"/>
      <c r="W29" s="16"/>
    </row>
    <row r="30">
      <c r="C30" s="34">
        <v>9.0</v>
      </c>
      <c r="D30" s="22"/>
      <c r="E30" s="23" t="s">
        <v>98</v>
      </c>
      <c r="F30" s="22"/>
      <c r="G30" s="48" t="str">
        <f>IF(E30="HORA BAJA", "APERTURA / CIERRE", IF(E30="HORA VALLE", "09:00–17:59; 21:00–22:59",IF(E30="HORA PICO", "06:00–09:00; 18:00–21:00", "Introducir tramo horario"))
)</f>
        <v>06:00–09:00; 18:00–21:00</v>
      </c>
      <c r="H30" s="22"/>
      <c r="I30" s="23">
        <v>2.0</v>
      </c>
      <c r="J30" s="22"/>
      <c r="K30" s="23">
        <f>(I30*5)</f>
        <v>10</v>
      </c>
      <c r="L30" s="24"/>
      <c r="N30" s="34">
        <v>9.0</v>
      </c>
      <c r="O30" s="22"/>
      <c r="P30" s="23" t="s">
        <v>98</v>
      </c>
      <c r="Q30" s="22"/>
      <c r="R30" s="23" t="s">
        <v>99</v>
      </c>
      <c r="S30" s="22"/>
      <c r="T30" s="23">
        <v>6.0</v>
      </c>
      <c r="U30" s="22"/>
      <c r="V30" s="48">
        <f>T30*5</f>
        <v>30</v>
      </c>
      <c r="W30" s="24"/>
    </row>
    <row r="31">
      <c r="C31" s="7"/>
      <c r="D31" s="8"/>
      <c r="E31" s="9"/>
      <c r="F31" s="8"/>
      <c r="G31" s="9"/>
      <c r="H31" s="8"/>
      <c r="I31" s="9"/>
      <c r="J31" s="8"/>
      <c r="K31" s="15"/>
      <c r="L31" s="16"/>
      <c r="N31" s="7"/>
      <c r="O31" s="8"/>
      <c r="P31" s="9"/>
      <c r="Q31" s="8"/>
      <c r="R31" s="9"/>
      <c r="S31" s="8"/>
      <c r="T31" s="9"/>
      <c r="U31" s="8"/>
      <c r="V31" s="15"/>
      <c r="W31" s="16"/>
    </row>
    <row r="32">
      <c r="C32" s="35">
        <v>12.0</v>
      </c>
      <c r="D32" s="3"/>
      <c r="E32" s="12" t="s">
        <v>96</v>
      </c>
      <c r="F32" s="3"/>
      <c r="G32" s="60" t="str">
        <f>IF(E32="HORA BAJA", "APERTURA / CIERRE", IF(E32="HORA VALLE", "09:00–17:59; 21:00–22:59",IF(E32="HORA PICO", "06:00–09:00; 18:00–21:00", "Introducir tramo horario"))
)</f>
        <v>APERTURA / CIERRE</v>
      </c>
      <c r="H32" s="3"/>
      <c r="I32" s="12">
        <v>9.0</v>
      </c>
      <c r="J32" s="3"/>
      <c r="K32" s="23">
        <f>(I32*5)</f>
        <v>45</v>
      </c>
      <c r="L32" s="24"/>
      <c r="N32" s="35">
        <v>12.0</v>
      </c>
      <c r="O32" s="3"/>
      <c r="P32" s="12" t="s">
        <v>96</v>
      </c>
      <c r="Q32" s="3"/>
      <c r="R32" s="60" t="str">
        <f>IF(P32="HORA BAJA", "APERTURA / CIERRE", IF(P32="HORA VALLE", "09:00–17:59; 21:00–22:59",IF(P32="HORA PICO", "06:00–09:00; 18:00–21:00", "Introducir tramo horario"))
)</f>
        <v>APERTURA / CIERRE</v>
      </c>
      <c r="S32" s="3"/>
      <c r="T32" s="12">
        <v>12.0</v>
      </c>
      <c r="U32" s="3"/>
      <c r="V32" s="48">
        <f>T32*5</f>
        <v>60</v>
      </c>
      <c r="W32" s="24"/>
    </row>
    <row r="33">
      <c r="C33" s="13"/>
      <c r="D33" s="14"/>
      <c r="E33" s="15"/>
      <c r="F33" s="14"/>
      <c r="G33" s="15"/>
      <c r="H33" s="14"/>
      <c r="I33" s="15"/>
      <c r="J33" s="14"/>
      <c r="K33" s="15"/>
      <c r="L33" s="16"/>
      <c r="N33" s="13"/>
      <c r="O33" s="14"/>
      <c r="P33" s="15"/>
      <c r="Q33" s="14"/>
      <c r="R33" s="15"/>
      <c r="S33" s="14"/>
      <c r="T33" s="15"/>
      <c r="U33" s="14"/>
      <c r="V33" s="15"/>
      <c r="W33" s="16"/>
    </row>
    <row r="34">
      <c r="C34" s="37">
        <v>12.0</v>
      </c>
      <c r="D34" s="22"/>
      <c r="E34" s="23" t="s">
        <v>97</v>
      </c>
      <c r="F34" s="22"/>
      <c r="G34" s="48" t="str">
        <f>IF(E34="HORA BAJA", "APERTURA / CIERRE", IF(E34="HORA VALLE", "09:00–17:59; 21:00–22:59",IF(E34="HORA PICO", "06:00–09:00; 18:00–21:00", "Introducir tramo horario"))
)</f>
        <v>09:00–17:59; 21:00–22:59</v>
      </c>
      <c r="H34" s="22"/>
      <c r="I34" s="23">
        <v>5.0</v>
      </c>
      <c r="J34" s="22"/>
      <c r="K34" s="23">
        <f>(I34*5)</f>
        <v>25</v>
      </c>
      <c r="L34" s="24"/>
      <c r="N34" s="37">
        <v>12.0</v>
      </c>
      <c r="O34" s="22"/>
      <c r="P34" s="23" t="s">
        <v>97</v>
      </c>
      <c r="Q34" s="22"/>
      <c r="R34" s="23" t="s">
        <v>100</v>
      </c>
      <c r="S34" s="22"/>
      <c r="T34" s="23">
        <v>10.0</v>
      </c>
      <c r="U34" s="22"/>
      <c r="V34" s="48">
        <f>T34*5</f>
        <v>50</v>
      </c>
      <c r="W34" s="24"/>
    </row>
    <row r="35">
      <c r="C35" s="13"/>
      <c r="D35" s="14"/>
      <c r="E35" s="15"/>
      <c r="F35" s="14"/>
      <c r="G35" s="15"/>
      <c r="H35" s="14"/>
      <c r="I35" s="15"/>
      <c r="J35" s="14"/>
      <c r="K35" s="15"/>
      <c r="L35" s="16"/>
      <c r="N35" s="13"/>
      <c r="O35" s="14"/>
      <c r="P35" s="15"/>
      <c r="Q35" s="14"/>
      <c r="R35" s="15"/>
      <c r="S35" s="14"/>
      <c r="T35" s="15"/>
      <c r="U35" s="14"/>
      <c r="V35" s="15"/>
      <c r="W35" s="16"/>
    </row>
    <row r="36">
      <c r="C36" s="37">
        <v>12.0</v>
      </c>
      <c r="D36" s="22"/>
      <c r="E36" s="23" t="s">
        <v>98</v>
      </c>
      <c r="F36" s="22"/>
      <c r="G36" s="48" t="str">
        <f>IF(E36="HORA BAJA", "APERTURA / CIERRE", IF(E36="HORA VALLE", "09:00–17:59; 21:00–22:59",IF(E36="HORA PICO", "06:00–09:00; 18:00–21:00", "Introducir tramo horario"))
)</f>
        <v>06:00–09:00; 18:00–21:00</v>
      </c>
      <c r="H36" s="22"/>
      <c r="I36" s="23">
        <v>3.0</v>
      </c>
      <c r="J36" s="22"/>
      <c r="K36" s="23">
        <f>(I36*5)</f>
        <v>15</v>
      </c>
      <c r="L36" s="24"/>
      <c r="N36" s="37">
        <v>12.0</v>
      </c>
      <c r="O36" s="22"/>
      <c r="P36" s="23" t="s">
        <v>98</v>
      </c>
      <c r="Q36" s="22"/>
      <c r="R36" s="23" t="s">
        <v>99</v>
      </c>
      <c r="S36" s="22"/>
      <c r="T36" s="23">
        <v>8.0</v>
      </c>
      <c r="U36" s="22"/>
      <c r="V36" s="48">
        <f>T36*5</f>
        <v>40</v>
      </c>
      <c r="W36" s="24"/>
    </row>
    <row r="37">
      <c r="C37" s="7"/>
      <c r="D37" s="8"/>
      <c r="E37" s="9"/>
      <c r="F37" s="8"/>
      <c r="G37" s="9"/>
      <c r="H37" s="8"/>
      <c r="I37" s="9"/>
      <c r="J37" s="8"/>
      <c r="K37" s="15"/>
      <c r="L37" s="16"/>
      <c r="N37" s="7"/>
      <c r="O37" s="8"/>
      <c r="P37" s="9"/>
      <c r="Q37" s="8"/>
      <c r="R37" s="9"/>
      <c r="S37" s="8"/>
      <c r="T37" s="9"/>
      <c r="U37" s="8"/>
      <c r="V37" s="15"/>
      <c r="W37" s="16"/>
    </row>
    <row r="41">
      <c r="C41" s="62" t="s">
        <v>101</v>
      </c>
      <c r="D41" s="55"/>
      <c r="E41" s="55"/>
      <c r="F41" s="55"/>
      <c r="G41" s="55"/>
      <c r="H41" s="55"/>
      <c r="I41" s="55"/>
      <c r="J41" s="55"/>
      <c r="K41" s="55"/>
      <c r="L41" s="6"/>
    </row>
    <row r="42">
      <c r="C42" s="13"/>
      <c r="D42" s="41"/>
      <c r="E42" s="41"/>
      <c r="F42" s="41"/>
      <c r="G42" s="41"/>
      <c r="H42" s="41"/>
      <c r="I42" s="41"/>
      <c r="J42" s="41"/>
      <c r="K42" s="41"/>
      <c r="L42" s="16"/>
    </row>
    <row r="43">
      <c r="C43" s="63" t="s">
        <v>0</v>
      </c>
      <c r="D43" s="22"/>
      <c r="E43" s="64" t="s">
        <v>92</v>
      </c>
      <c r="F43" s="22"/>
      <c r="G43" s="64" t="s">
        <v>93</v>
      </c>
      <c r="H43" s="22"/>
      <c r="I43" s="64" t="s">
        <v>94</v>
      </c>
      <c r="J43" s="22"/>
      <c r="K43" s="64" t="s">
        <v>95</v>
      </c>
      <c r="L43" s="24"/>
    </row>
    <row r="44">
      <c r="C44" s="7"/>
      <c r="D44" s="8"/>
      <c r="E44" s="9"/>
      <c r="F44" s="8"/>
      <c r="G44" s="9"/>
      <c r="H44" s="8"/>
      <c r="I44" s="9"/>
      <c r="J44" s="8"/>
      <c r="K44" s="9"/>
      <c r="L44" s="10"/>
    </row>
    <row r="45">
      <c r="C45" s="11">
        <v>1.0</v>
      </c>
      <c r="D45" s="3"/>
      <c r="E45" s="12" t="s">
        <v>96</v>
      </c>
      <c r="F45" s="3"/>
      <c r="G45" s="60" t="str">
        <f>IF(E45="HORA BAJA", "APERTURA / CIERRE", IF(E45="HORA VALLE", "09:00–17:59; 21:00–22:59",IF(E45="HORA PICO", "06:00–09:00; 18:00–21:00", "Introducir tramo horario"))
)</f>
        <v>APERTURA / CIERRE</v>
      </c>
      <c r="H45" s="3"/>
      <c r="I45" s="12">
        <v>10.0</v>
      </c>
      <c r="J45" s="3"/>
      <c r="K45" s="65">
        <f>I45*5</f>
        <v>50</v>
      </c>
      <c r="L45" s="20"/>
    </row>
    <row r="46">
      <c r="C46" s="13"/>
      <c r="D46" s="14"/>
      <c r="E46" s="15"/>
      <c r="F46" s="14"/>
      <c r="G46" s="15"/>
      <c r="H46" s="14"/>
      <c r="I46" s="15"/>
      <c r="J46" s="14"/>
      <c r="K46" s="41"/>
      <c r="L46" s="16"/>
    </row>
    <row r="47">
      <c r="C47" s="21">
        <v>1.0</v>
      </c>
      <c r="D47" s="22"/>
      <c r="E47" s="23" t="s">
        <v>97</v>
      </c>
      <c r="F47" s="22"/>
      <c r="G47" s="48" t="str">
        <f>IF(E47="HORA BAJA", "APERTURA / CIERRE", IF(E47="HORA VALLE", "09:00–17:59",IF(E47="HORA PICO", "06:00–09:00; 18:00–21:00", "Introducir tramo horario"))
)</f>
        <v>09:00–17:59</v>
      </c>
      <c r="H47" s="22"/>
      <c r="I47" s="23">
        <v>6.0</v>
      </c>
      <c r="J47" s="22"/>
      <c r="K47" s="65">
        <f>I47*5</f>
        <v>30</v>
      </c>
      <c r="L47" s="20"/>
    </row>
    <row r="48">
      <c r="C48" s="13"/>
      <c r="D48" s="14"/>
      <c r="E48" s="15"/>
      <c r="F48" s="14"/>
      <c r="G48" s="15"/>
      <c r="H48" s="14"/>
      <c r="I48" s="15"/>
      <c r="J48" s="14"/>
      <c r="K48" s="41"/>
      <c r="L48" s="16"/>
    </row>
    <row r="49">
      <c r="C49" s="21">
        <v>1.0</v>
      </c>
      <c r="D49" s="22"/>
      <c r="E49" s="23" t="s">
        <v>98</v>
      </c>
      <c r="F49" s="22"/>
      <c r="G49" s="48" t="str">
        <f>IF(E49="HORA BAJA", "APERTURA / CIERRE", IF(E49="HORA VALLE", "09:00–17:59; 21:00–22:59",IF(E49="HORA PICO", "06:00–09:00; 18:00–21:00", "Introducir tramo horario"))
)</f>
        <v>06:00–09:00; 18:00–21:00</v>
      </c>
      <c r="H49" s="22"/>
      <c r="I49" s="23">
        <v>4.0</v>
      </c>
      <c r="J49" s="22"/>
      <c r="K49" s="65">
        <f>I49*5</f>
        <v>20</v>
      </c>
      <c r="L49" s="20"/>
    </row>
    <row r="50">
      <c r="C50" s="7"/>
      <c r="D50" s="8"/>
      <c r="E50" s="9"/>
      <c r="F50" s="8"/>
      <c r="G50" s="9"/>
      <c r="H50" s="8"/>
      <c r="I50" s="9"/>
      <c r="J50" s="8"/>
      <c r="K50" s="41"/>
      <c r="L50" s="16"/>
    </row>
    <row r="51">
      <c r="C51" s="25">
        <v>3.0</v>
      </c>
      <c r="D51" s="3"/>
      <c r="E51" s="12" t="s">
        <v>96</v>
      </c>
      <c r="F51" s="3"/>
      <c r="G51" s="60" t="str">
        <f>IF(E51="HORA BAJA", "APERTURA / CIERRE", IF(E51="HORA VALLE", "09:00–17:59; 21:00–22:59",IF(E51="HORA PICO", "06:00–09:00; 18:00–21:00", "Introducir tramo horario"))
)</f>
        <v>APERTURA / CIERRE</v>
      </c>
      <c r="H51" s="3"/>
      <c r="I51" s="12">
        <v>10.0</v>
      </c>
      <c r="J51" s="3"/>
      <c r="K51" s="65">
        <f>I51*5</f>
        <v>50</v>
      </c>
      <c r="L51" s="20"/>
    </row>
    <row r="52">
      <c r="C52" s="13"/>
      <c r="D52" s="14"/>
      <c r="E52" s="15"/>
      <c r="F52" s="14"/>
      <c r="G52" s="15"/>
      <c r="H52" s="14"/>
      <c r="I52" s="15"/>
      <c r="J52" s="14"/>
      <c r="K52" s="41"/>
      <c r="L52" s="16"/>
    </row>
    <row r="53">
      <c r="C53" s="26">
        <v>3.0</v>
      </c>
      <c r="D53" s="22"/>
      <c r="E53" s="23" t="s">
        <v>97</v>
      </c>
      <c r="F53" s="22"/>
      <c r="G53" s="48" t="str">
        <f>IF(E53="HORA BAJA", "APERTURA / CIERRE", IF(E53="HORA VALLE", "09:00–17:59",IF(E53="HORA PICO", "06:00–09:00; 18:00–21:00", "Introducir tramo horario"))
)</f>
        <v>09:00–17:59</v>
      </c>
      <c r="H53" s="22"/>
      <c r="I53" s="23">
        <v>6.0</v>
      </c>
      <c r="J53" s="22"/>
      <c r="K53" s="65">
        <f>I53*5</f>
        <v>30</v>
      </c>
      <c r="L53" s="20"/>
    </row>
    <row r="54">
      <c r="C54" s="13"/>
      <c r="D54" s="14"/>
      <c r="E54" s="15"/>
      <c r="F54" s="14"/>
      <c r="G54" s="15"/>
      <c r="H54" s="14"/>
      <c r="I54" s="15"/>
      <c r="J54" s="14"/>
      <c r="K54" s="41"/>
      <c r="L54" s="16"/>
    </row>
    <row r="55">
      <c r="C55" s="26">
        <v>3.0</v>
      </c>
      <c r="D55" s="22"/>
      <c r="E55" s="23" t="s">
        <v>98</v>
      </c>
      <c r="F55" s="22"/>
      <c r="G55" s="48" t="str">
        <f>IF(E55="HORA BAJA", "APERTURA / CIERRE", IF(E55="HORA VALLE", "09:00–17:59; 21:00–22:59",IF(E55="HORA PICO", "06:00–09:00; 18:00–21:00", "Introducir tramo horario"))
)</f>
        <v>06:00–09:00; 18:00–21:00</v>
      </c>
      <c r="H55" s="22"/>
      <c r="I55" s="23">
        <v>4.0</v>
      </c>
      <c r="J55" s="22"/>
      <c r="K55" s="65">
        <f>I55*5</f>
        <v>20</v>
      </c>
      <c r="L55" s="20"/>
    </row>
    <row r="56">
      <c r="C56" s="7"/>
      <c r="D56" s="8"/>
      <c r="E56" s="9"/>
      <c r="F56" s="8"/>
      <c r="G56" s="9"/>
      <c r="H56" s="8"/>
      <c r="I56" s="9"/>
      <c r="J56" s="8"/>
      <c r="K56" s="41"/>
      <c r="L56" s="16"/>
    </row>
    <row r="57">
      <c r="C57" s="28">
        <v>7.0</v>
      </c>
      <c r="D57" s="3"/>
      <c r="E57" s="12" t="s">
        <v>96</v>
      </c>
      <c r="F57" s="3"/>
      <c r="G57" s="60" t="str">
        <f>IF(E57="HORA BAJA", "APERTURA / CIERRE", IF(E57="HORA VALLE", "09:00–17:59; 21:00–22:59",IF(E57="HORA PICO", "06:00–09:00; 18:00–21:00", "Introducir tramo horario"))
)</f>
        <v>APERTURA / CIERRE</v>
      </c>
      <c r="H57" s="3"/>
      <c r="I57" s="12">
        <v>10.0</v>
      </c>
      <c r="J57" s="3"/>
      <c r="K57" s="65">
        <f>I57*5</f>
        <v>50</v>
      </c>
      <c r="L57" s="20"/>
    </row>
    <row r="58">
      <c r="C58" s="13"/>
      <c r="D58" s="14"/>
      <c r="E58" s="15"/>
      <c r="F58" s="14"/>
      <c r="G58" s="15"/>
      <c r="H58" s="14"/>
      <c r="I58" s="15"/>
      <c r="J58" s="14"/>
      <c r="K58" s="41"/>
      <c r="L58" s="16"/>
    </row>
    <row r="59">
      <c r="C59" s="29">
        <v>7.0</v>
      </c>
      <c r="D59" s="22"/>
      <c r="E59" s="23" t="s">
        <v>97</v>
      </c>
      <c r="F59" s="22"/>
      <c r="G59" s="48" t="str">
        <f>IF(E59="HORA BAJA", "APERTURA / CIERRE", IF(E59="HORA VALLE", "09:00–17:59",IF(E59="HORA PICO", "06:00–09:00; 18:00–21:00", "Introducir tramo horario"))
)</f>
        <v>09:00–17:59</v>
      </c>
      <c r="H59" s="22"/>
      <c r="I59" s="23">
        <v>6.0</v>
      </c>
      <c r="J59" s="22"/>
      <c r="K59" s="65">
        <f>I59*5</f>
        <v>30</v>
      </c>
      <c r="L59" s="20"/>
    </row>
    <row r="60">
      <c r="C60" s="13"/>
      <c r="D60" s="14"/>
      <c r="E60" s="15"/>
      <c r="F60" s="14"/>
      <c r="G60" s="15"/>
      <c r="H60" s="14"/>
      <c r="I60" s="15"/>
      <c r="J60" s="14"/>
      <c r="K60" s="41"/>
      <c r="L60" s="16"/>
    </row>
    <row r="61">
      <c r="C61" s="29">
        <v>7.0</v>
      </c>
      <c r="D61" s="22"/>
      <c r="E61" s="23" t="s">
        <v>98</v>
      </c>
      <c r="F61" s="22"/>
      <c r="G61" s="48" t="str">
        <f>IF(E61="HORA BAJA", "APERTURA / CIERRE", IF(E61="HORA VALLE", "09:00–17:59; 21:00–22:59",IF(E61="HORA PICO", "06:00–09:00; 18:00–21:00", "Introducir tramo horario"))
)</f>
        <v>06:00–09:00; 18:00–21:00</v>
      </c>
      <c r="H61" s="22"/>
      <c r="I61" s="23">
        <v>4.0</v>
      </c>
      <c r="J61" s="22"/>
      <c r="K61" s="65">
        <f>I61*5</f>
        <v>20</v>
      </c>
      <c r="L61" s="20"/>
    </row>
    <row r="62">
      <c r="C62" s="7"/>
      <c r="D62" s="8"/>
      <c r="E62" s="9"/>
      <c r="F62" s="8"/>
      <c r="G62" s="9"/>
      <c r="H62" s="8"/>
      <c r="I62" s="9"/>
      <c r="J62" s="8"/>
      <c r="K62" s="41"/>
      <c r="L62" s="16"/>
    </row>
    <row r="63">
      <c r="C63" s="32">
        <v>9.0</v>
      </c>
      <c r="D63" s="3"/>
      <c r="E63" s="12" t="s">
        <v>96</v>
      </c>
      <c r="F63" s="3"/>
      <c r="G63" s="60" t="str">
        <f>IF(E63="HORA BAJA", "APERTURA / CIERRE", IF(E63="HORA VALLE", "09:00–17:59; 21:00–22:59",IF(E63="HORA PICO", "06:00–09:00; 18:00–21:00", "Introducir tramo horario"))
)</f>
        <v>APERTURA / CIERRE</v>
      </c>
      <c r="H63" s="3"/>
      <c r="I63" s="12">
        <v>11.0</v>
      </c>
      <c r="J63" s="3"/>
      <c r="K63" s="65">
        <f>I63*5</f>
        <v>55</v>
      </c>
      <c r="L63" s="20"/>
    </row>
    <row r="64">
      <c r="C64" s="13"/>
      <c r="D64" s="14"/>
      <c r="E64" s="15"/>
      <c r="F64" s="14"/>
      <c r="G64" s="15"/>
      <c r="H64" s="14"/>
      <c r="I64" s="15"/>
      <c r="J64" s="14"/>
      <c r="K64" s="41"/>
      <c r="L64" s="16"/>
    </row>
    <row r="65">
      <c r="C65" s="34">
        <v>9.0</v>
      </c>
      <c r="D65" s="22"/>
      <c r="E65" s="23" t="s">
        <v>97</v>
      </c>
      <c r="F65" s="22"/>
      <c r="G65" s="48" t="str">
        <f>IF(E65="HORA BAJA", "APERTURA / CIERRE", IF(E65="HORA VALLE", "09:00–17:59",IF(E65="HORA PICO", "06:00–09:00; 18:00–21:00", "Introducir tramo horario"))
)</f>
        <v>09:00–17:59</v>
      </c>
      <c r="H65" s="22"/>
      <c r="I65" s="23">
        <v>7.0</v>
      </c>
      <c r="J65" s="22"/>
      <c r="K65" s="65">
        <f>I65*5</f>
        <v>35</v>
      </c>
      <c r="L65" s="20"/>
    </row>
    <row r="66">
      <c r="C66" s="13"/>
      <c r="D66" s="14"/>
      <c r="E66" s="15"/>
      <c r="F66" s="14"/>
      <c r="G66" s="15"/>
      <c r="H66" s="14"/>
      <c r="I66" s="15"/>
      <c r="J66" s="14"/>
      <c r="K66" s="41"/>
      <c r="L66" s="16"/>
    </row>
    <row r="67">
      <c r="C67" s="34">
        <v>9.0</v>
      </c>
      <c r="D67" s="22"/>
      <c r="E67" s="23" t="s">
        <v>98</v>
      </c>
      <c r="F67" s="22"/>
      <c r="G67" s="48" t="str">
        <f>IF(E67="HORA BAJA", "APERTURA / CIERRE", IF(E67="HORA VALLE", "09:00–17:59; 21:00–22:59",IF(E67="HORA PICO", "06:00–09:00; 18:00–21:00", "Introducir tramo horario"))
)</f>
        <v>06:00–09:00; 18:00–21:00</v>
      </c>
      <c r="H67" s="22"/>
      <c r="I67" s="23">
        <v>5.0</v>
      </c>
      <c r="J67" s="22"/>
      <c r="K67" s="65">
        <f>I67*5</f>
        <v>25</v>
      </c>
      <c r="L67" s="20"/>
    </row>
    <row r="68">
      <c r="C68" s="7"/>
      <c r="D68" s="8"/>
      <c r="E68" s="9"/>
      <c r="F68" s="8"/>
      <c r="G68" s="9"/>
      <c r="H68" s="8"/>
      <c r="I68" s="9"/>
      <c r="J68" s="8"/>
      <c r="K68" s="41"/>
      <c r="L68" s="16"/>
    </row>
    <row r="69">
      <c r="C69" s="35">
        <v>12.0</v>
      </c>
      <c r="D69" s="3"/>
      <c r="E69" s="12" t="s">
        <v>96</v>
      </c>
      <c r="F69" s="3"/>
      <c r="G69" s="60" t="str">
        <f>IF(E69="HORA BAJA", "APERTURA / CIERRE", IF(E69="HORA VALLE", "09:00–17:59; 21:00–22:59",IF(E69="HORA PICO", "06:00–09:00; 18:00–21:00", "Introducir tramo horario"))
)</f>
        <v>APERTURA / CIERRE</v>
      </c>
      <c r="H69" s="3"/>
      <c r="I69" s="12">
        <v>12.0</v>
      </c>
      <c r="J69" s="3"/>
      <c r="K69" s="65">
        <f>I69*5</f>
        <v>60</v>
      </c>
      <c r="L69" s="20"/>
    </row>
    <row r="70">
      <c r="C70" s="13"/>
      <c r="D70" s="14"/>
      <c r="E70" s="15"/>
      <c r="F70" s="14"/>
      <c r="G70" s="15"/>
      <c r="H70" s="14"/>
      <c r="I70" s="15"/>
      <c r="J70" s="14"/>
      <c r="K70" s="41"/>
      <c r="L70" s="16"/>
    </row>
    <row r="71">
      <c r="C71" s="37">
        <v>12.0</v>
      </c>
      <c r="D71" s="22"/>
      <c r="E71" s="23" t="s">
        <v>97</v>
      </c>
      <c r="F71" s="22"/>
      <c r="G71" s="48" t="str">
        <f>IF(E71="HORA BAJA", "APERTURA / CIERRE", IF(E71="HORA VALLE", "09:00–17:59",IF(E71="HORA PICO", "06:00–09:00; 18:00–21:00", "Introducir tramo horario"))
)</f>
        <v>09:00–17:59</v>
      </c>
      <c r="H71" s="22"/>
      <c r="I71" s="23">
        <v>8.0</v>
      </c>
      <c r="J71" s="22"/>
      <c r="K71" s="65">
        <f>I71*5</f>
        <v>40</v>
      </c>
      <c r="L71" s="20"/>
    </row>
    <row r="72">
      <c r="C72" s="13"/>
      <c r="D72" s="14"/>
      <c r="E72" s="15"/>
      <c r="F72" s="14"/>
      <c r="G72" s="15"/>
      <c r="H72" s="14"/>
      <c r="I72" s="15"/>
      <c r="J72" s="14"/>
      <c r="K72" s="41"/>
      <c r="L72" s="16"/>
    </row>
    <row r="73">
      <c r="C73" s="37">
        <v>12.0</v>
      </c>
      <c r="D73" s="22"/>
      <c r="E73" s="23" t="s">
        <v>98</v>
      </c>
      <c r="F73" s="22"/>
      <c r="G73" s="48" t="str">
        <f>IF(E73="HORA BAJA", "APERTURA / CIERRE", IF(E73="HORA VALLE", "09:00–17:59; 21:00–22:59",IF(E73="HORA PICO", "06:00–09:00; 18:00–21:00", "Introducir tramo horario"))
)</f>
        <v>06:00–09:00; 18:00–21:00</v>
      </c>
      <c r="H73" s="22"/>
      <c r="I73" s="23">
        <v>5.0</v>
      </c>
      <c r="J73" s="22"/>
      <c r="K73" s="65">
        <f>I73*5</f>
        <v>25</v>
      </c>
      <c r="L73" s="20"/>
    </row>
    <row r="74">
      <c r="C74" s="7"/>
      <c r="D74" s="8"/>
      <c r="E74" s="9"/>
      <c r="F74" s="8"/>
      <c r="G74" s="9"/>
      <c r="H74" s="8"/>
      <c r="I74" s="9"/>
      <c r="J74" s="8"/>
      <c r="K74" s="41"/>
      <c r="L74" s="16"/>
    </row>
  </sheetData>
  <mergeCells count="243">
    <mergeCell ref="R32:S33"/>
    <mergeCell ref="T32:U33"/>
    <mergeCell ref="V32:W33"/>
    <mergeCell ref="C32:D33"/>
    <mergeCell ref="E32:F33"/>
    <mergeCell ref="G32:H33"/>
    <mergeCell ref="I32:J33"/>
    <mergeCell ref="N32:O33"/>
    <mergeCell ref="P32:Q33"/>
    <mergeCell ref="K32:L33"/>
    <mergeCell ref="R34:S35"/>
    <mergeCell ref="T34:U35"/>
    <mergeCell ref="V34:W35"/>
    <mergeCell ref="C34:D35"/>
    <mergeCell ref="E34:F35"/>
    <mergeCell ref="G34:H35"/>
    <mergeCell ref="I34:J35"/>
    <mergeCell ref="N34:O35"/>
    <mergeCell ref="P34:Q35"/>
    <mergeCell ref="K34:L35"/>
    <mergeCell ref="I61:J62"/>
    <mergeCell ref="I63:J64"/>
    <mergeCell ref="I65:J66"/>
    <mergeCell ref="K61:L62"/>
    <mergeCell ref="K63:L64"/>
    <mergeCell ref="K65:L66"/>
    <mergeCell ref="C57:D58"/>
    <mergeCell ref="C59:D60"/>
    <mergeCell ref="E59:F60"/>
    <mergeCell ref="G59:H60"/>
    <mergeCell ref="I59:J60"/>
    <mergeCell ref="C61:D62"/>
    <mergeCell ref="K57:L58"/>
    <mergeCell ref="K59:L60"/>
    <mergeCell ref="E61:F62"/>
    <mergeCell ref="G61:H62"/>
    <mergeCell ref="C63:D64"/>
    <mergeCell ref="E63:F64"/>
    <mergeCell ref="G63:H64"/>
    <mergeCell ref="E65:F66"/>
    <mergeCell ref="G65:H66"/>
    <mergeCell ref="E69:F70"/>
    <mergeCell ref="G69:H70"/>
    <mergeCell ref="C71:D72"/>
    <mergeCell ref="E71:F72"/>
    <mergeCell ref="G71:H72"/>
    <mergeCell ref="C73:D74"/>
    <mergeCell ref="E73:F74"/>
    <mergeCell ref="G73:H74"/>
    <mergeCell ref="I69:J70"/>
    <mergeCell ref="I71:J72"/>
    <mergeCell ref="I73:J74"/>
    <mergeCell ref="K69:L70"/>
    <mergeCell ref="K71:L72"/>
    <mergeCell ref="K73:L74"/>
    <mergeCell ref="C65:D66"/>
    <mergeCell ref="C67:D68"/>
    <mergeCell ref="E67:F68"/>
    <mergeCell ref="G67:H68"/>
    <mergeCell ref="I67:J68"/>
    <mergeCell ref="C69:D70"/>
    <mergeCell ref="K67:L68"/>
    <mergeCell ref="E36:F37"/>
    <mergeCell ref="G36:H37"/>
    <mergeCell ref="I36:J37"/>
    <mergeCell ref="N36:O37"/>
    <mergeCell ref="P36:Q37"/>
    <mergeCell ref="C41:L42"/>
    <mergeCell ref="I45:J46"/>
    <mergeCell ref="K45:L46"/>
    <mergeCell ref="I47:J48"/>
    <mergeCell ref="I49:J50"/>
    <mergeCell ref="K47:L48"/>
    <mergeCell ref="K49:L50"/>
    <mergeCell ref="C36:D37"/>
    <mergeCell ref="C43:D44"/>
    <mergeCell ref="E43:F44"/>
    <mergeCell ref="G43:H44"/>
    <mergeCell ref="I43:J44"/>
    <mergeCell ref="K43:L44"/>
    <mergeCell ref="C45:D46"/>
    <mergeCell ref="E45:F46"/>
    <mergeCell ref="G45:H46"/>
    <mergeCell ref="C47:D48"/>
    <mergeCell ref="E47:F48"/>
    <mergeCell ref="G47:H48"/>
    <mergeCell ref="E49:F50"/>
    <mergeCell ref="G49:H50"/>
    <mergeCell ref="I53:J54"/>
    <mergeCell ref="I55:J56"/>
    <mergeCell ref="I57:J58"/>
    <mergeCell ref="K53:L54"/>
    <mergeCell ref="K55:L56"/>
    <mergeCell ref="C49:D50"/>
    <mergeCell ref="C51:D52"/>
    <mergeCell ref="E51:F52"/>
    <mergeCell ref="G51:H52"/>
    <mergeCell ref="I51:J52"/>
    <mergeCell ref="C53:D54"/>
    <mergeCell ref="K51:L52"/>
    <mergeCell ref="E53:F54"/>
    <mergeCell ref="G53:H54"/>
    <mergeCell ref="C55:D56"/>
    <mergeCell ref="E55:F56"/>
    <mergeCell ref="G55:H56"/>
    <mergeCell ref="E57:F58"/>
    <mergeCell ref="G57:H58"/>
    <mergeCell ref="R16:S17"/>
    <mergeCell ref="T16:U17"/>
    <mergeCell ref="V16:W17"/>
    <mergeCell ref="R18:S19"/>
    <mergeCell ref="T18:U19"/>
    <mergeCell ref="V18:W19"/>
    <mergeCell ref="V20:W21"/>
    <mergeCell ref="V22:W23"/>
    <mergeCell ref="V24:W25"/>
    <mergeCell ref="V26:W27"/>
    <mergeCell ref="R14:S15"/>
    <mergeCell ref="T14:U15"/>
    <mergeCell ref="V14:W15"/>
    <mergeCell ref="C14:D15"/>
    <mergeCell ref="E14:F15"/>
    <mergeCell ref="G14:H15"/>
    <mergeCell ref="I14:J15"/>
    <mergeCell ref="N14:O15"/>
    <mergeCell ref="P14:Q15"/>
    <mergeCell ref="K14:L15"/>
    <mergeCell ref="C16:D17"/>
    <mergeCell ref="E16:F17"/>
    <mergeCell ref="G16:H17"/>
    <mergeCell ref="I16:J17"/>
    <mergeCell ref="N16:O17"/>
    <mergeCell ref="P16:Q17"/>
    <mergeCell ref="K16:L17"/>
    <mergeCell ref="R36:S37"/>
    <mergeCell ref="T36:U37"/>
    <mergeCell ref="V36:W37"/>
    <mergeCell ref="K20:L21"/>
    <mergeCell ref="K22:L23"/>
    <mergeCell ref="K24:L25"/>
    <mergeCell ref="K26:L27"/>
    <mergeCell ref="K28:L29"/>
    <mergeCell ref="K30:L31"/>
    <mergeCell ref="K36:L37"/>
    <mergeCell ref="C18:D19"/>
    <mergeCell ref="E18:F19"/>
    <mergeCell ref="G18:H19"/>
    <mergeCell ref="I18:J19"/>
    <mergeCell ref="N18:O19"/>
    <mergeCell ref="P18:Q19"/>
    <mergeCell ref="K18:L19"/>
    <mergeCell ref="V28:W29"/>
    <mergeCell ref="V30:W31"/>
    <mergeCell ref="N6:O7"/>
    <mergeCell ref="P6:Q7"/>
    <mergeCell ref="N8:O9"/>
    <mergeCell ref="P8:Q9"/>
    <mergeCell ref="R6:S7"/>
    <mergeCell ref="T6:U7"/>
    <mergeCell ref="R8:S9"/>
    <mergeCell ref="T8:U9"/>
    <mergeCell ref="V8:W9"/>
    <mergeCell ref="C4:L5"/>
    <mergeCell ref="N4:W5"/>
    <mergeCell ref="E6:F7"/>
    <mergeCell ref="G6:H7"/>
    <mergeCell ref="I6:J7"/>
    <mergeCell ref="K6:L7"/>
    <mergeCell ref="V6:W7"/>
    <mergeCell ref="I10:J11"/>
    <mergeCell ref="K10:L11"/>
    <mergeCell ref="N10:O11"/>
    <mergeCell ref="P10:Q11"/>
    <mergeCell ref="R10:S11"/>
    <mergeCell ref="T10:U11"/>
    <mergeCell ref="V10:W11"/>
    <mergeCell ref="C6:D7"/>
    <mergeCell ref="C8:D9"/>
    <mergeCell ref="E8:F9"/>
    <mergeCell ref="G8:H9"/>
    <mergeCell ref="I8:J9"/>
    <mergeCell ref="K8:L9"/>
    <mergeCell ref="C10:D11"/>
    <mergeCell ref="N12:O13"/>
    <mergeCell ref="P12:Q13"/>
    <mergeCell ref="R12:S13"/>
    <mergeCell ref="T12:U13"/>
    <mergeCell ref="V12:W13"/>
    <mergeCell ref="E10:F11"/>
    <mergeCell ref="G10:H11"/>
    <mergeCell ref="C12:D13"/>
    <mergeCell ref="E12:F13"/>
    <mergeCell ref="G12:H13"/>
    <mergeCell ref="I12:J13"/>
    <mergeCell ref="K12:L13"/>
    <mergeCell ref="R20:S21"/>
    <mergeCell ref="T20:U21"/>
    <mergeCell ref="C20:D21"/>
    <mergeCell ref="E20:F21"/>
    <mergeCell ref="G20:H21"/>
    <mergeCell ref="I20:J21"/>
    <mergeCell ref="N20:O21"/>
    <mergeCell ref="P20:Q21"/>
    <mergeCell ref="R22:S23"/>
    <mergeCell ref="T22:U23"/>
    <mergeCell ref="C22:D23"/>
    <mergeCell ref="E22:F23"/>
    <mergeCell ref="G22:H23"/>
    <mergeCell ref="I22:J23"/>
    <mergeCell ref="N22:O23"/>
    <mergeCell ref="P22:Q23"/>
    <mergeCell ref="R24:S25"/>
    <mergeCell ref="T24:U25"/>
    <mergeCell ref="C24:D25"/>
    <mergeCell ref="E24:F25"/>
    <mergeCell ref="G24:H25"/>
    <mergeCell ref="I24:J25"/>
    <mergeCell ref="N24:O25"/>
    <mergeCell ref="P24:Q25"/>
    <mergeCell ref="R26:S27"/>
    <mergeCell ref="T26:U27"/>
    <mergeCell ref="C26:D27"/>
    <mergeCell ref="E26:F27"/>
    <mergeCell ref="G26:H27"/>
    <mergeCell ref="I26:J27"/>
    <mergeCell ref="N26:O27"/>
    <mergeCell ref="P26:Q27"/>
    <mergeCell ref="R28:S29"/>
    <mergeCell ref="T28:U29"/>
    <mergeCell ref="C28:D29"/>
    <mergeCell ref="E28:F29"/>
    <mergeCell ref="G28:H29"/>
    <mergeCell ref="I28:J29"/>
    <mergeCell ref="N28:O29"/>
    <mergeCell ref="P28:Q29"/>
    <mergeCell ref="R30:S31"/>
    <mergeCell ref="T30:U31"/>
    <mergeCell ref="C30:D31"/>
    <mergeCell ref="E30:F31"/>
    <mergeCell ref="G30:H31"/>
    <mergeCell ref="I30:J31"/>
    <mergeCell ref="N30:O31"/>
    <mergeCell ref="P30:Q31"/>
  </mergeCells>
  <conditionalFormatting sqref="P8:U9 V8:W37 E45:J46 K45:L74 G51:H52 G57:H58 G63:H64 G69:H70">
    <cfRule type="expression" dxfId="0" priority="1">
      <formula>"HORA BAJA"</formula>
    </cfRule>
  </conditionalFormatting>
  <conditionalFormatting sqref="P8:U9 V8:W37 E45:J46 K45:L74 G51:H52 G57:H58 G63:H64 G69:H70">
    <cfRule type="expression" dxfId="1" priority="2">
      <formula>"HORA VALLE"</formula>
    </cfRule>
  </conditionalFormatting>
  <dataValidations>
    <dataValidation type="list" allowBlank="1" showErrorMessage="1" sqref="E8 P8 E10 P10 E12 P12 E14 P14 E16 P16 E18 P18 E20 P20 E22 P22 E24 P24 E26 P26 E28 P28 E30 P30 E32 P32 E34 P34 E36 P36 E45 E47 E49 E51 E53 E55 E57 E59 E61 E63 E65 E67 E69 E71 E73">
      <formula1>"HORA PICO,HORA VALLE,HORA BAJA"</formula1>
    </dataValidation>
  </dataValidations>
  <drawing r:id="rId1"/>
</worksheet>
</file>